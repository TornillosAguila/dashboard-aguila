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K1\Desktop\"/>
    </mc:Choice>
  </mc:AlternateContent>
  <xr:revisionPtr revIDLastSave="0" documentId="8_{515C0B13-8E75-4FA6-BC81-1D477569D2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tas" sheetId="3" r:id="rId1"/>
    <sheet name="ope" sheetId="1" r:id="rId2"/>
    <sheet name="admon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6" i="2" l="1"/>
  <c r="BA10" i="2"/>
  <c r="BA9" i="2"/>
  <c r="B19" i="3" l="1"/>
  <c r="B17" i="3"/>
  <c r="U17" i="3"/>
  <c r="AY6" i="2" l="1"/>
  <c r="AZ6" i="2"/>
  <c r="AZ9" i="2"/>
  <c r="AZ10" i="2"/>
  <c r="AY10" i="2"/>
  <c r="AY9" i="2"/>
  <c r="T17" i="3" l="1"/>
  <c r="S17" i="3"/>
  <c r="R17" i="3" l="1"/>
  <c r="Q17" i="3"/>
  <c r="AX10" i="2" l="1"/>
  <c r="AX9" i="2"/>
  <c r="AX6" i="2" l="1"/>
  <c r="AW10" i="2"/>
  <c r="AV10" i="2"/>
  <c r="AU10" i="2"/>
  <c r="AT10" i="2"/>
  <c r="AS10" i="2"/>
  <c r="AW9" i="2"/>
  <c r="AV9" i="2"/>
  <c r="AU9" i="2"/>
  <c r="AT9" i="2"/>
  <c r="AW6" i="2" l="1"/>
  <c r="AV6" i="2"/>
  <c r="AU6" i="2"/>
  <c r="AT6" i="2"/>
  <c r="AS6" i="2"/>
  <c r="AR6" i="2"/>
  <c r="AQ6" i="2"/>
  <c r="P17" i="3"/>
  <c r="O17" i="3"/>
  <c r="N17" i="3"/>
  <c r="M17" i="3"/>
  <c r="L17" i="3" l="1"/>
  <c r="K17" i="3" l="1"/>
  <c r="J17" i="3" l="1"/>
  <c r="AO6" i="2" l="1"/>
  <c r="I17" i="3" l="1"/>
  <c r="AN6" i="2" l="1"/>
  <c r="H17" i="3"/>
  <c r="G17" i="3" l="1"/>
  <c r="AL6" i="2" l="1"/>
  <c r="AL11" i="2" s="1"/>
  <c r="AK6" i="2" l="1"/>
  <c r="AK10" i="2"/>
  <c r="AK9" i="2"/>
  <c r="AK11" i="2" l="1"/>
  <c r="E17" i="3"/>
  <c r="D17" i="3" l="1"/>
  <c r="C17" i="3"/>
  <c r="W24" i="2" l="1"/>
  <c r="H11" i="2"/>
  <c r="G11" i="2"/>
  <c r="D11" i="2"/>
  <c r="AJ10" i="2"/>
  <c r="AI10" i="2"/>
  <c r="AH10" i="2"/>
  <c r="AF10" i="2"/>
  <c r="AE10" i="2"/>
  <c r="AD10" i="2"/>
  <c r="AC10" i="2"/>
  <c r="AB10" i="2"/>
  <c r="AA10" i="2"/>
  <c r="Z10" i="2"/>
  <c r="Y10" i="2"/>
  <c r="X10" i="2"/>
  <c r="W10" i="2"/>
  <c r="V10" i="2"/>
  <c r="T10" i="2"/>
  <c r="S10" i="2"/>
  <c r="R10" i="2"/>
  <c r="Q10" i="2"/>
  <c r="P10" i="2"/>
  <c r="O10" i="2"/>
  <c r="N10" i="2"/>
  <c r="M10" i="2"/>
  <c r="AJ9" i="2"/>
  <c r="AI9" i="2"/>
  <c r="AH9" i="2"/>
  <c r="AF9" i="2"/>
  <c r="AE9" i="2"/>
  <c r="AD9" i="2"/>
  <c r="AC9" i="2"/>
  <c r="Z9" i="2"/>
  <c r="Y9" i="2"/>
  <c r="X9" i="2"/>
  <c r="W9" i="2"/>
  <c r="V9" i="2"/>
  <c r="T9" i="2"/>
  <c r="S9" i="2"/>
  <c r="R9" i="2"/>
  <c r="Q9" i="2"/>
  <c r="P9" i="2"/>
  <c r="O9" i="2"/>
  <c r="N9" i="2"/>
  <c r="M9" i="2"/>
  <c r="AJ6" i="2"/>
  <c r="AI6" i="2"/>
  <c r="Y6" i="2"/>
  <c r="N6" i="2"/>
  <c r="M6" i="2"/>
  <c r="L6" i="2"/>
  <c r="L11" i="2" s="1"/>
  <c r="K6" i="2"/>
  <c r="K11" i="2" s="1"/>
  <c r="J6" i="2"/>
  <c r="J11" i="2" s="1"/>
  <c r="I6" i="2"/>
  <c r="I11" i="2" s="1"/>
  <c r="F6" i="2"/>
  <c r="F11" i="2" s="1"/>
  <c r="E6" i="2"/>
  <c r="E11" i="2" s="1"/>
  <c r="AI11" i="2" l="1"/>
  <c r="AJ11" i="2"/>
  <c r="M11" i="2"/>
  <c r="N11" i="2"/>
  <c r="O11" i="2"/>
</calcChain>
</file>

<file path=xl/sharedStrings.xml><?xml version="1.0" encoding="utf-8"?>
<sst xmlns="http://schemas.openxmlformats.org/spreadsheetml/2006/main" count="150" uniqueCount="134">
  <si>
    <t>NOMBRE</t>
  </si>
  <si>
    <t>META</t>
  </si>
  <si>
    <t>COMPRA</t>
  </si>
  <si>
    <t>DEVOLUCIONES(FALTANTES, MAL SURTIDO,GARANTIAS)</t>
  </si>
  <si>
    <t>PEDIDOS ENTREGADOS POR REPARTO Foraneo/Local</t>
  </si>
  <si>
    <t>NUMERO DE PEDIDOS POR ALMACENISTA(partidas/pedidos)</t>
  </si>
  <si>
    <t>NIVEL DE SERVICIO</t>
  </si>
  <si>
    <t>NUMERO DE MAQUINAS REPARADAS-ENTREGADAS/INGRESOS</t>
  </si>
  <si>
    <t>DIAS PROMEDIO DE REPARACIONES Y ENTREGAS</t>
  </si>
  <si>
    <t xml:space="preserve">INDICADORES CLAVE </t>
  </si>
  <si>
    <t>DE GRUPO ÁGUILA (KPIs)</t>
  </si>
  <si>
    <t>ABRIL</t>
  </si>
  <si>
    <t>MAYO</t>
  </si>
  <si>
    <t>JUNIO</t>
  </si>
  <si>
    <t>LÍDER</t>
  </si>
  <si>
    <t>Ingresos ($)</t>
  </si>
  <si>
    <t>COBRANZA</t>
  </si>
  <si>
    <t>Plazo de cobro (días).</t>
  </si>
  <si>
    <t>&lt;35</t>
  </si>
  <si>
    <t>% de recuperación</t>
  </si>
  <si>
    <t>Egresos ($)</t>
  </si>
  <si>
    <t>ADMINISTRACIÓN</t>
  </si>
  <si>
    <t>Gastos de operación ($).</t>
  </si>
  <si>
    <t xml:space="preserve">Flujo de efectivo </t>
  </si>
  <si>
    <t>&lt;33</t>
  </si>
  <si>
    <t xml:space="preserve"> VENTAS</t>
  </si>
  <si>
    <t>DEPARTAMENTO</t>
  </si>
  <si>
    <t xml:space="preserve">ENERO </t>
  </si>
  <si>
    <t>*PUNTO DE VENTA</t>
  </si>
  <si>
    <t xml:space="preserve">  PEDIDOS PV</t>
  </si>
  <si>
    <t>*CALL CENTER</t>
  </si>
  <si>
    <t xml:space="preserve">  PEDIDOS CALL CENTER </t>
  </si>
  <si>
    <t>*PLATAFORMA</t>
  </si>
  <si>
    <t>PEDIDOS PLATAFORMA</t>
  </si>
  <si>
    <t>*ASESORES</t>
  </si>
  <si>
    <t xml:space="preserve">PEDIDOS ASESORES </t>
  </si>
  <si>
    <t xml:space="preserve">*VENTAS TOTALES </t>
  </si>
  <si>
    <t xml:space="preserve">PEDIDOS/PARTIDAS TOTALES </t>
  </si>
  <si>
    <t>1,895/5503</t>
  </si>
  <si>
    <t>1,553/5576</t>
  </si>
  <si>
    <t>&lt;27</t>
  </si>
  <si>
    <t>246L/500F</t>
  </si>
  <si>
    <t>313L/841F</t>
  </si>
  <si>
    <t>249L/517F</t>
  </si>
  <si>
    <t>98pedidos/26partidas</t>
  </si>
  <si>
    <t>134PE/398PA</t>
  </si>
  <si>
    <t>110PE/398PA</t>
  </si>
  <si>
    <t>&lt;$260,056/8.8%</t>
  </si>
  <si>
    <t>&gt;$378,335/10.91%</t>
  </si>
  <si>
    <t>&gt;$332,742/10.23</t>
  </si>
  <si>
    <t>24/$6,889</t>
  </si>
  <si>
    <t>18/$4,268</t>
  </si>
  <si>
    <t>14/$2,862</t>
  </si>
  <si>
    <t>285L/543F</t>
  </si>
  <si>
    <t>124PE/359PA</t>
  </si>
  <si>
    <t>$345,044/10.55</t>
  </si>
  <si>
    <t>19/$5,703</t>
  </si>
  <si>
    <t>1,865 / 5389</t>
  </si>
  <si>
    <t>301f/477f</t>
  </si>
  <si>
    <t>120PE/374PA</t>
  </si>
  <si>
    <t>2108290/9.27</t>
  </si>
  <si>
    <t>1874/5821</t>
  </si>
  <si>
    <t>ENERO</t>
  </si>
  <si>
    <t>FEBRERO</t>
  </si>
  <si>
    <t>222L/527F</t>
  </si>
  <si>
    <t>127PE/370PA</t>
  </si>
  <si>
    <t>259377/8.76%</t>
  </si>
  <si>
    <t>16/4026</t>
  </si>
  <si>
    <t>1,771/5127</t>
  </si>
  <si>
    <t>/5412</t>
  </si>
  <si>
    <t>211L/509F</t>
  </si>
  <si>
    <t>113PE/322PA</t>
  </si>
  <si>
    <t>292055/8.83%</t>
  </si>
  <si>
    <t>25/434</t>
  </si>
  <si>
    <t>1.693/4631</t>
  </si>
  <si>
    <t>212L/432F</t>
  </si>
  <si>
    <t>108PE/300PA</t>
  </si>
  <si>
    <t>201446/8%</t>
  </si>
  <si>
    <t>25/6815</t>
  </si>
  <si>
    <t>1,828/4936</t>
  </si>
  <si>
    <t>237L/489F</t>
  </si>
  <si>
    <t>119PE/327PA</t>
  </si>
  <si>
    <t>278815/9.61%</t>
  </si>
  <si>
    <t>23/4485</t>
  </si>
  <si>
    <t>1,823/4851</t>
  </si>
  <si>
    <t>1,825/4872</t>
  </si>
  <si>
    <t>218l/500f</t>
  </si>
  <si>
    <t>119pe/325pa</t>
  </si>
  <si>
    <t>21/9332</t>
  </si>
  <si>
    <t>1.736/ 4620</t>
  </si>
  <si>
    <t>1,850 /5,032</t>
  </si>
  <si>
    <t>961/4,144</t>
  </si>
  <si>
    <t>1,831/6,034</t>
  </si>
  <si>
    <t>MARZO</t>
  </si>
  <si>
    <t>1,849/6,694</t>
  </si>
  <si>
    <t>1,777/6,355</t>
  </si>
  <si>
    <t>186L/442F</t>
  </si>
  <si>
    <t>108L/311F</t>
  </si>
  <si>
    <t>120PE/330PA</t>
  </si>
  <si>
    <t>108PE/311PA</t>
  </si>
  <si>
    <t>$295,304/9.93</t>
  </si>
  <si>
    <t>$208,571/8.12</t>
  </si>
  <si>
    <t>16/4,490</t>
  </si>
  <si>
    <t>20/$4,908</t>
  </si>
  <si>
    <t>114L/135F</t>
  </si>
  <si>
    <t>271L/563F</t>
  </si>
  <si>
    <t>194L/431F</t>
  </si>
  <si>
    <t>238L/478F</t>
  </si>
  <si>
    <t>227PE/76PA</t>
  </si>
  <si>
    <t>431PE/130PA</t>
  </si>
  <si>
    <t>339PE/115PA</t>
  </si>
  <si>
    <t>235PE/</t>
  </si>
  <si>
    <t>$110,499/5.05%</t>
  </si>
  <si>
    <t>$428,542/10.97</t>
  </si>
  <si>
    <t>$267,473/8.62%</t>
  </si>
  <si>
    <t>$267,866/8.89%</t>
  </si>
  <si>
    <t>6-1/$670</t>
  </si>
  <si>
    <t>14-8/3,274</t>
  </si>
  <si>
    <t>23-15/$6,438</t>
  </si>
  <si>
    <t>24-14/$4,713</t>
  </si>
  <si>
    <t>218L/381F</t>
  </si>
  <si>
    <t>96PE/332PA</t>
  </si>
  <si>
    <t>$175,795/7.51</t>
  </si>
  <si>
    <t>19-13/$3,878</t>
  </si>
  <si>
    <t>24-4/$9,389</t>
  </si>
  <si>
    <t>1,486/5,163</t>
  </si>
  <si>
    <t>1,786/6,341</t>
  </si>
  <si>
    <t>220L/470F</t>
  </si>
  <si>
    <t>105PE/157PA</t>
  </si>
  <si>
    <t>$260,352/9.26</t>
  </si>
  <si>
    <t>1,851/6,047</t>
  </si>
  <si>
    <t>27/032026</t>
  </si>
  <si>
    <t>25/014/2026</t>
  </si>
  <si>
    <t>15/042026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</si>
</sst>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9" formatCode="dd/mm/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1" xfId="0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14" fontId="3" fillId="4" borderId="1" xfId="0" applyNumberFormat="1" applyFont="1" applyFill="1" applyBorder="1"/>
    <xf numFmtId="0" fontId="3" fillId="5" borderId="1" xfId="0" applyFont="1" applyFill="1" applyBorder="1"/>
    <xf numFmtId="44" fontId="3" fillId="0" borderId="1" xfId="1" applyFont="1" applyBorder="1"/>
    <xf numFmtId="44" fontId="0" fillId="6" borderId="1" xfId="1" applyFont="1" applyFill="1" applyBorder="1"/>
    <xf numFmtId="44" fontId="0" fillId="7" borderId="1" xfId="1" applyFont="1" applyFill="1" applyBorder="1"/>
    <xf numFmtId="44" fontId="0" fillId="8" borderId="1" xfId="1" applyFont="1" applyFill="1" applyBorder="1"/>
    <xf numFmtId="44" fontId="0" fillId="8" borderId="2" xfId="1" applyFont="1" applyFill="1" applyBorder="1"/>
    <xf numFmtId="44" fontId="0" fillId="0" borderId="1" xfId="1" applyFont="1" applyBorder="1"/>
    <xf numFmtId="0" fontId="3" fillId="0" borderId="1" xfId="0" applyFont="1" applyBorder="1"/>
    <xf numFmtId="0" fontId="0" fillId="8" borderId="1" xfId="0" applyFill="1" applyBorder="1"/>
    <xf numFmtId="0" fontId="0" fillId="7" borderId="1" xfId="0" applyFill="1" applyBorder="1"/>
    <xf numFmtId="0" fontId="0" fillId="6" borderId="1" xfId="0" applyFill="1" applyBorder="1"/>
    <xf numFmtId="0" fontId="0" fillId="8" borderId="2" xfId="0" applyFill="1" applyBorder="1"/>
    <xf numFmtId="10" fontId="3" fillId="0" borderId="1" xfId="3" applyNumberFormat="1" applyFont="1" applyBorder="1"/>
    <xf numFmtId="10" fontId="0" fillId="8" borderId="1" xfId="3" applyNumberFormat="1" applyFont="1" applyFill="1" applyBorder="1"/>
    <xf numFmtId="10" fontId="0" fillId="6" borderId="1" xfId="3" applyNumberFormat="1" applyFont="1" applyFill="1" applyBorder="1"/>
    <xf numFmtId="10" fontId="0" fillId="7" borderId="1" xfId="3" applyNumberFormat="1" applyFont="1" applyFill="1" applyBorder="1"/>
    <xf numFmtId="10" fontId="0" fillId="7" borderId="2" xfId="3" applyNumberFormat="1" applyFont="1" applyFill="1" applyBorder="1"/>
    <xf numFmtId="10" fontId="0" fillId="0" borderId="1" xfId="3" applyNumberFormat="1" applyFont="1" applyBorder="1"/>
    <xf numFmtId="4" fontId="0" fillId="8" borderId="0" xfId="0" applyNumberFormat="1" applyFill="1"/>
    <xf numFmtId="4" fontId="0" fillId="6" borderId="0" xfId="0" applyNumberFormat="1" applyFill="1"/>
    <xf numFmtId="4" fontId="0" fillId="0" borderId="0" xfId="0" applyNumberFormat="1"/>
    <xf numFmtId="44" fontId="0" fillId="0" borderId="0" xfId="0" applyNumberFormat="1"/>
    <xf numFmtId="44" fontId="0" fillId="9" borderId="0" xfId="0" applyNumberFormat="1" applyFill="1"/>
    <xf numFmtId="44" fontId="0" fillId="0" borderId="1" xfId="0" applyNumberFormat="1" applyBorder="1"/>
    <xf numFmtId="43" fontId="0" fillId="0" borderId="0" xfId="2" applyFont="1"/>
    <xf numFmtId="43" fontId="0" fillId="0" borderId="0" xfId="0" applyNumberFormat="1"/>
    <xf numFmtId="0" fontId="3" fillId="10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8" fontId="0" fillId="0" borderId="0" xfId="0" applyNumberFormat="1"/>
    <xf numFmtId="0" fontId="3" fillId="2" borderId="1" xfId="0" applyFont="1" applyFill="1" applyBorder="1" applyAlignment="1">
      <alignment horizontal="center"/>
    </xf>
    <xf numFmtId="8" fontId="0" fillId="8" borderId="3" xfId="0" applyNumberFormat="1" applyFill="1" applyBorder="1" applyAlignment="1">
      <alignment horizontal="center" vertical="center"/>
    </xf>
    <xf numFmtId="8" fontId="0" fillId="8" borderId="4" xfId="0" applyNumberFormat="1" applyFill="1" applyBorder="1" applyAlignment="1">
      <alignment horizontal="center" vertical="center"/>
    </xf>
    <xf numFmtId="6" fontId="3" fillId="8" borderId="3" xfId="0" applyNumberFormat="1" applyFont="1" applyFill="1" applyBorder="1" applyAlignment="1">
      <alignment horizontal="center" vertical="center"/>
    </xf>
    <xf numFmtId="6" fontId="3" fillId="8" borderId="4" xfId="0" applyNumberFormat="1" applyFont="1" applyFill="1" applyBorder="1" applyAlignment="1">
      <alignment horizontal="center" vertical="center"/>
    </xf>
    <xf numFmtId="8" fontId="0" fillId="6" borderId="3" xfId="0" applyNumberFormat="1" applyFill="1" applyBorder="1" applyAlignment="1">
      <alignment horizontal="center" vertical="center"/>
    </xf>
    <xf numFmtId="8" fontId="0" fillId="6" borderId="4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6" fillId="6" borderId="1" xfId="0" applyFont="1" applyFill="1" applyBorder="1"/>
    <xf numFmtId="0" fontId="0" fillId="5" borderId="1" xfId="0" applyFill="1" applyBorder="1"/>
    <xf numFmtId="0" fontId="0" fillId="6" borderId="1" xfId="0" applyFill="1" applyBorder="1" applyAlignment="1">
      <alignment horizontal="center" vertical="center"/>
    </xf>
    <xf numFmtId="44" fontId="0" fillId="5" borderId="1" xfId="1" applyFont="1" applyFill="1" applyBorder="1" applyAlignment="1">
      <alignment horizontal="center"/>
    </xf>
    <xf numFmtId="44" fontId="0" fillId="11" borderId="1" xfId="1" applyFont="1" applyFill="1" applyBorder="1" applyAlignment="1">
      <alignment horizontal="center" vertical="center"/>
    </xf>
    <xf numFmtId="44" fontId="0" fillId="11" borderId="1" xfId="1" applyFont="1" applyFill="1" applyBorder="1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/>
    </xf>
    <xf numFmtId="44" fontId="0" fillId="8" borderId="1" xfId="1" applyFont="1" applyFill="1" applyBorder="1" applyAlignment="1">
      <alignment horizontal="center"/>
    </xf>
    <xf numFmtId="44" fontId="0" fillId="12" borderId="1" xfId="1" applyFont="1" applyFill="1" applyBorder="1"/>
    <xf numFmtId="0" fontId="0" fillId="11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0" fontId="0" fillId="11" borderId="1" xfId="0" applyFill="1" applyBorder="1"/>
    <xf numFmtId="0" fontId="3" fillId="13" borderId="1" xfId="0" applyFont="1" applyFill="1" applyBorder="1" applyAlignment="1">
      <alignment horizontal="center"/>
    </xf>
    <xf numFmtId="44" fontId="0" fillId="6" borderId="1" xfId="5" applyFont="1" applyFill="1" applyBorder="1"/>
    <xf numFmtId="44" fontId="0" fillId="8" borderId="1" xfId="5" applyFont="1" applyFill="1" applyBorder="1"/>
    <xf numFmtId="14" fontId="3" fillId="10" borderId="1" xfId="0" applyNumberFormat="1" applyFont="1" applyFill="1" applyBorder="1" applyAlignment="1">
      <alignment horizontal="center"/>
    </xf>
    <xf numFmtId="6" fontId="0" fillId="8" borderId="1" xfId="0" applyNumberFormat="1" applyFill="1" applyBorder="1" applyAlignment="1">
      <alignment horizontal="center" vertical="center"/>
    </xf>
    <xf numFmtId="6" fontId="0" fillId="6" borderId="1" xfId="0" applyNumberFormat="1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0" fontId="0" fillId="11" borderId="0" xfId="0" applyFill="1"/>
    <xf numFmtId="0" fontId="3" fillId="4" borderId="1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0" fontId="5" fillId="10" borderId="6" xfId="0" applyFont="1" applyFill="1" applyBorder="1" applyAlignment="1">
      <alignment horizontal="center"/>
    </xf>
    <xf numFmtId="0" fontId="5" fillId="10" borderId="7" xfId="0" applyFont="1" applyFill="1" applyBorder="1" applyAlignment="1">
      <alignment horizontal="center"/>
    </xf>
    <xf numFmtId="6" fontId="3" fillId="0" borderId="3" xfId="0" applyNumberFormat="1" applyFont="1" applyBorder="1" applyAlignment="1">
      <alignment horizontal="center" vertical="center"/>
    </xf>
    <xf numFmtId="6" fontId="3" fillId="0" borderId="4" xfId="0" applyNumberFormat="1" applyFont="1" applyBorder="1" applyAlignment="1">
      <alignment horizontal="center" vertical="center"/>
    </xf>
    <xf numFmtId="6" fontId="3" fillId="6" borderId="3" xfId="0" applyNumberFormat="1" applyFont="1" applyFill="1" applyBorder="1" applyAlignment="1">
      <alignment horizontal="center" vertical="center"/>
    </xf>
    <xf numFmtId="6" fontId="3" fillId="6" borderId="4" xfId="0" applyNumberFormat="1" applyFont="1" applyFill="1" applyBorder="1" applyAlignment="1">
      <alignment horizontal="center" vertical="center"/>
    </xf>
    <xf numFmtId="6" fontId="3" fillId="8" borderId="3" xfId="0" applyNumberFormat="1" applyFont="1" applyFill="1" applyBorder="1" applyAlignment="1">
      <alignment horizontal="center" vertical="center"/>
    </xf>
    <xf numFmtId="6" fontId="3" fillId="8" borderId="4" xfId="0" applyNumberFormat="1" applyFont="1" applyFill="1" applyBorder="1" applyAlignment="1">
      <alignment horizontal="center" vertical="center"/>
    </xf>
    <xf numFmtId="8" fontId="3" fillId="11" borderId="3" xfId="0" applyNumberFormat="1" applyFont="1" applyFill="1" applyBorder="1" applyAlignment="1">
      <alignment horizontal="center" vertical="center"/>
    </xf>
    <xf numFmtId="6" fontId="3" fillId="11" borderId="4" xfId="0" applyNumberFormat="1" applyFont="1" applyFill="1" applyBorder="1" applyAlignment="1">
      <alignment horizontal="center" vertical="center"/>
    </xf>
    <xf numFmtId="6" fontId="3" fillId="11" borderId="3" xfId="0" applyNumberFormat="1" applyFont="1" applyFill="1" applyBorder="1" applyAlignment="1">
      <alignment horizontal="center" vertical="center"/>
    </xf>
    <xf numFmtId="8" fontId="0" fillId="0" borderId="3" xfId="0" applyNumberFormat="1" applyBorder="1" applyAlignment="1">
      <alignment horizontal="center" vertical="center"/>
    </xf>
    <xf numFmtId="8" fontId="0" fillId="0" borderId="4" xfId="0" applyNumberFormat="1" applyBorder="1" applyAlignment="1">
      <alignment horizontal="center" vertical="center"/>
    </xf>
    <xf numFmtId="8" fontId="0" fillId="11" borderId="3" xfId="0" applyNumberFormat="1" applyFill="1" applyBorder="1" applyAlignment="1">
      <alignment horizontal="center" vertical="center"/>
    </xf>
    <xf numFmtId="8" fontId="0" fillId="11" borderId="4" xfId="0" applyNumberForma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8" fontId="0" fillId="6" borderId="3" xfId="0" applyNumberFormat="1" applyFill="1" applyBorder="1" applyAlignment="1">
      <alignment horizontal="center" vertical="center"/>
    </xf>
    <xf numFmtId="8" fontId="0" fillId="6" borderId="4" xfId="0" applyNumberFormat="1" applyFill="1" applyBorder="1" applyAlignment="1">
      <alignment horizontal="center" vertical="center"/>
    </xf>
    <xf numFmtId="8" fontId="0" fillId="8" borderId="3" xfId="0" applyNumberFormat="1" applyFill="1" applyBorder="1" applyAlignment="1">
      <alignment horizontal="center" vertical="center"/>
    </xf>
    <xf numFmtId="8" fontId="0" fillId="8" borderId="4" xfId="0" applyNumberFormat="1" applyFill="1" applyBorder="1" applyAlignment="1">
      <alignment horizontal="center" vertical="center"/>
    </xf>
    <xf numFmtId="8" fontId="3" fillId="0" borderId="3" xfId="0" applyNumberFormat="1" applyFont="1" applyBorder="1" applyAlignment="1">
      <alignment horizontal="center" vertical="center"/>
    </xf>
    <xf numFmtId="8" fontId="3" fillId="0" borderId="4" xfId="0" applyNumberFormat="1" applyFont="1" applyBorder="1" applyAlignment="1">
      <alignment horizontal="center" vertical="center"/>
    </xf>
    <xf numFmtId="8" fontId="0" fillId="6" borderId="3" xfId="1" applyNumberFormat="1" applyFont="1" applyFill="1" applyBorder="1" applyAlignment="1">
      <alignment horizontal="center" vertical="center"/>
    </xf>
    <xf numFmtId="44" fontId="0" fillId="6" borderId="4" xfId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8" fontId="0" fillId="5" borderId="3" xfId="0" applyNumberFormat="1" applyFill="1" applyBorder="1" applyAlignment="1">
      <alignment horizontal="center" vertical="center"/>
    </xf>
    <xf numFmtId="8" fontId="0" fillId="5" borderId="4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9" fontId="2" fillId="2" borderId="1" xfId="0" applyNumberFormat="1" applyFont="1" applyFill="1" applyBorder="1" applyAlignment="1">
      <alignment horizontal="center" vertical="center"/>
    </xf>
  </cellXfs>
  <cellStyles count="6">
    <cellStyle name="Millares" xfId="2" builtinId="3"/>
    <cellStyle name="Millares 2" xfId="4" xr:uid="{00000000-0005-0000-0000-000001000000}"/>
    <cellStyle name="Moneda" xfId="1" builtinId="4"/>
    <cellStyle name="Moneda 2" xfId="5" xr:uid="{00000000-0005-0000-0000-000003000000}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"/>
  <sheetViews>
    <sheetView tabSelected="1" workbookViewId="0">
      <selection activeCell="T3" sqref="T3:X3"/>
    </sheetView>
  </sheetViews>
  <sheetFormatPr baseColWidth="10" defaultRowHeight="14.4" x14ac:dyDescent="0.3"/>
  <cols>
    <col min="1" max="1" width="25.88671875" customWidth="1"/>
    <col min="2" max="2" width="13.77734375" bestFit="1" customWidth="1"/>
    <col min="3" max="4" width="13.6640625" hidden="1" customWidth="1"/>
    <col min="5" max="12" width="13.21875" hidden="1" customWidth="1"/>
    <col min="13" max="22" width="13.21875" bestFit="1" customWidth="1"/>
    <col min="23" max="31" width="13.77734375" customWidth="1"/>
    <col min="32" max="32" width="13.88671875" bestFit="1" customWidth="1"/>
  </cols>
  <sheetData>
    <row r="1" spans="1:31" x14ac:dyDescent="0.3">
      <c r="A1" s="97" t="s">
        <v>25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</row>
    <row r="2" spans="1:31" x14ac:dyDescent="0.3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</row>
    <row r="3" spans="1:31" x14ac:dyDescent="0.3">
      <c r="A3" s="98" t="s">
        <v>26</v>
      </c>
      <c r="B3" s="98" t="s">
        <v>1</v>
      </c>
      <c r="C3" s="99" t="s">
        <v>27</v>
      </c>
      <c r="D3" s="99"/>
      <c r="E3" s="99"/>
      <c r="F3" s="99"/>
      <c r="G3" s="71" t="s">
        <v>63</v>
      </c>
      <c r="H3" s="72"/>
      <c r="I3" s="72"/>
      <c r="J3" s="73"/>
      <c r="K3" s="71" t="s">
        <v>93</v>
      </c>
      <c r="L3" s="72"/>
      <c r="M3" s="72"/>
      <c r="N3" s="73"/>
      <c r="O3" s="71" t="s">
        <v>11</v>
      </c>
      <c r="P3" s="72"/>
      <c r="Q3" s="72"/>
      <c r="R3" s="72"/>
      <c r="S3" s="73"/>
      <c r="T3" s="99" t="s">
        <v>12</v>
      </c>
      <c r="U3" s="99"/>
      <c r="V3" s="99"/>
      <c r="W3" s="99"/>
      <c r="X3" s="99"/>
      <c r="Y3" s="100"/>
      <c r="Z3" s="100"/>
      <c r="AA3" s="100"/>
      <c r="AB3" s="100"/>
      <c r="AC3" s="100"/>
      <c r="AD3" s="100"/>
      <c r="AE3" s="100"/>
    </row>
    <row r="4" spans="1:31" x14ac:dyDescent="0.3">
      <c r="A4" s="98"/>
      <c r="B4" s="98"/>
      <c r="C4" s="31">
        <v>9</v>
      </c>
      <c r="D4" s="31">
        <v>16</v>
      </c>
      <c r="E4" s="31">
        <v>23</v>
      </c>
      <c r="F4" s="31">
        <v>30</v>
      </c>
      <c r="G4" s="31">
        <v>6</v>
      </c>
      <c r="H4" s="31">
        <v>13</v>
      </c>
      <c r="I4" s="31">
        <v>20</v>
      </c>
      <c r="J4" s="31">
        <v>27</v>
      </c>
      <c r="K4" s="31">
        <v>6</v>
      </c>
      <c r="L4" s="31">
        <v>13</v>
      </c>
      <c r="M4" s="65">
        <v>46101</v>
      </c>
      <c r="N4" s="31" t="s">
        <v>131</v>
      </c>
      <c r="O4" s="65">
        <v>46115</v>
      </c>
      <c r="P4" s="65">
        <v>46122</v>
      </c>
      <c r="Q4" s="65">
        <v>46129</v>
      </c>
      <c r="R4" s="31" t="s">
        <v>132</v>
      </c>
      <c r="S4" s="65">
        <v>46143</v>
      </c>
      <c r="T4" s="65">
        <v>46120</v>
      </c>
      <c r="U4" s="31" t="s">
        <v>133</v>
      </c>
      <c r="V4" s="31"/>
      <c r="W4" s="31"/>
      <c r="X4" s="31"/>
      <c r="Y4" s="31"/>
      <c r="Z4" s="31"/>
      <c r="AA4" s="31"/>
      <c r="AB4" s="31"/>
      <c r="AC4" s="31"/>
      <c r="AD4" s="31"/>
      <c r="AE4" s="31"/>
    </row>
    <row r="5" spans="1:31" x14ac:dyDescent="0.3">
      <c r="A5" s="87" t="s">
        <v>28</v>
      </c>
      <c r="B5" s="74">
        <v>503476</v>
      </c>
      <c r="C5" s="91">
        <v>522974</v>
      </c>
      <c r="D5" s="101">
        <v>401365</v>
      </c>
      <c r="E5" s="39">
        <v>425837</v>
      </c>
      <c r="F5" s="91">
        <v>508904</v>
      </c>
      <c r="G5" s="95">
        <v>384866</v>
      </c>
      <c r="H5" s="91">
        <v>459370</v>
      </c>
      <c r="I5" s="85">
        <v>426923</v>
      </c>
      <c r="J5" s="91">
        <v>474507</v>
      </c>
      <c r="K5" s="91">
        <v>497705</v>
      </c>
      <c r="L5" s="85">
        <v>404311</v>
      </c>
      <c r="M5" s="85">
        <v>418552</v>
      </c>
      <c r="N5" s="91">
        <v>524873</v>
      </c>
      <c r="O5" s="85">
        <v>336823</v>
      </c>
      <c r="P5" s="91">
        <v>506442</v>
      </c>
      <c r="Q5" s="91">
        <v>483752</v>
      </c>
      <c r="R5" s="91">
        <v>510040</v>
      </c>
      <c r="S5" s="89">
        <v>375560</v>
      </c>
      <c r="T5" s="91">
        <v>578059</v>
      </c>
      <c r="U5" s="83">
        <v>464027</v>
      </c>
      <c r="V5" s="83"/>
      <c r="W5" s="83"/>
      <c r="X5" s="83"/>
      <c r="Y5" s="83"/>
      <c r="Z5" s="83"/>
      <c r="AA5" s="83"/>
      <c r="AB5" s="83"/>
      <c r="AC5" s="83"/>
      <c r="AD5" s="83"/>
      <c r="AE5" s="83"/>
    </row>
    <row r="6" spans="1:31" x14ac:dyDescent="0.3">
      <c r="A6" s="88"/>
      <c r="B6" s="75"/>
      <c r="C6" s="92"/>
      <c r="D6" s="102"/>
      <c r="E6" s="40"/>
      <c r="F6" s="92"/>
      <c r="G6" s="96"/>
      <c r="H6" s="92"/>
      <c r="I6" s="86"/>
      <c r="J6" s="92"/>
      <c r="K6" s="92"/>
      <c r="L6" s="86"/>
      <c r="M6" s="86"/>
      <c r="N6" s="92"/>
      <c r="O6" s="86"/>
      <c r="P6" s="92"/>
      <c r="Q6" s="92"/>
      <c r="R6" s="92"/>
      <c r="S6" s="90"/>
      <c r="T6" s="92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</row>
    <row r="7" spans="1:31" x14ac:dyDescent="0.3">
      <c r="A7" s="32" t="s">
        <v>29</v>
      </c>
      <c r="B7" s="33">
        <v>465</v>
      </c>
      <c r="C7" s="34">
        <v>554</v>
      </c>
      <c r="D7" s="34">
        <v>447</v>
      </c>
      <c r="E7" s="34">
        <v>682</v>
      </c>
      <c r="F7" s="34">
        <v>672</v>
      </c>
      <c r="G7" s="34">
        <v>687</v>
      </c>
      <c r="H7" s="34">
        <v>756</v>
      </c>
      <c r="I7" s="34">
        <v>687</v>
      </c>
      <c r="J7" s="34">
        <v>755</v>
      </c>
      <c r="K7" s="34">
        <v>752</v>
      </c>
      <c r="L7" s="35">
        <v>776</v>
      </c>
      <c r="M7" s="35">
        <v>696</v>
      </c>
      <c r="N7" s="35">
        <v>694</v>
      </c>
      <c r="O7" s="35">
        <v>548</v>
      </c>
      <c r="P7" s="35">
        <v>710</v>
      </c>
      <c r="Q7" s="35">
        <v>757</v>
      </c>
      <c r="R7" s="35">
        <v>746</v>
      </c>
      <c r="S7" s="35">
        <v>605</v>
      </c>
      <c r="T7" s="35">
        <v>743</v>
      </c>
      <c r="U7" s="35">
        <v>792</v>
      </c>
      <c r="V7" s="35"/>
      <c r="W7" s="35"/>
      <c r="X7" s="35"/>
      <c r="Y7" s="35"/>
      <c r="Z7" s="35"/>
      <c r="AA7" s="35"/>
      <c r="AB7" s="35"/>
      <c r="AC7" s="35"/>
      <c r="AD7" s="35"/>
      <c r="AE7" s="35"/>
    </row>
    <row r="8" spans="1:31" x14ac:dyDescent="0.3">
      <c r="A8" s="87" t="s">
        <v>30</v>
      </c>
      <c r="B8" s="93">
        <v>625378</v>
      </c>
      <c r="C8" s="85">
        <v>519139</v>
      </c>
      <c r="D8" s="91">
        <v>698603</v>
      </c>
      <c r="E8" s="39">
        <v>636941</v>
      </c>
      <c r="F8" s="91">
        <v>712753</v>
      </c>
      <c r="G8" s="85">
        <v>558598</v>
      </c>
      <c r="H8" s="91">
        <v>649130</v>
      </c>
      <c r="I8" s="85">
        <v>580907</v>
      </c>
      <c r="J8" s="91">
        <v>611942</v>
      </c>
      <c r="K8" s="91">
        <v>635439</v>
      </c>
      <c r="L8" s="91">
        <v>616019</v>
      </c>
      <c r="M8" s="91">
        <v>582109</v>
      </c>
      <c r="N8" s="91">
        <v>605260</v>
      </c>
      <c r="O8" s="89">
        <v>387183</v>
      </c>
      <c r="P8" s="91">
        <v>710326</v>
      </c>
      <c r="Q8" s="91">
        <v>765536</v>
      </c>
      <c r="R8" s="91">
        <v>691887</v>
      </c>
      <c r="S8" s="89">
        <v>445110.21</v>
      </c>
      <c r="T8" s="91">
        <v>600039</v>
      </c>
      <c r="U8" s="83">
        <v>710233</v>
      </c>
      <c r="V8" s="83"/>
      <c r="W8" s="83"/>
      <c r="X8" s="83"/>
      <c r="Y8" s="83"/>
      <c r="Z8" s="83"/>
      <c r="AA8" s="83"/>
      <c r="AB8" s="83"/>
      <c r="AC8" s="83"/>
      <c r="AD8" s="83"/>
      <c r="AE8" s="83"/>
    </row>
    <row r="9" spans="1:31" x14ac:dyDescent="0.3">
      <c r="A9" s="88"/>
      <c r="B9" s="94"/>
      <c r="C9" s="86"/>
      <c r="D9" s="92"/>
      <c r="E9" s="40"/>
      <c r="F9" s="92"/>
      <c r="G9" s="86"/>
      <c r="H9" s="92"/>
      <c r="I9" s="86"/>
      <c r="J9" s="92"/>
      <c r="K9" s="92"/>
      <c r="L9" s="92"/>
      <c r="M9" s="92"/>
      <c r="N9" s="92"/>
      <c r="O9" s="90"/>
      <c r="P9" s="92"/>
      <c r="Q9" s="92"/>
      <c r="R9" s="92"/>
      <c r="S9" s="90"/>
      <c r="T9" s="92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</row>
    <row r="10" spans="1:31" x14ac:dyDescent="0.3">
      <c r="A10" s="32" t="s">
        <v>31</v>
      </c>
      <c r="B10" s="33">
        <v>272</v>
      </c>
      <c r="C10" s="35">
        <v>396</v>
      </c>
      <c r="D10" s="35">
        <v>336</v>
      </c>
      <c r="E10" s="35">
        <v>361</v>
      </c>
      <c r="F10" s="35">
        <v>356</v>
      </c>
      <c r="G10" s="35">
        <v>361</v>
      </c>
      <c r="H10" s="35">
        <v>346</v>
      </c>
      <c r="I10" s="35">
        <v>337</v>
      </c>
      <c r="J10" s="35">
        <v>335</v>
      </c>
      <c r="K10" s="35">
        <v>323</v>
      </c>
      <c r="L10" s="35">
        <v>335</v>
      </c>
      <c r="M10" s="35">
        <v>306</v>
      </c>
      <c r="N10" s="35">
        <v>374</v>
      </c>
      <c r="O10" s="35">
        <v>208</v>
      </c>
      <c r="P10" s="35">
        <v>369</v>
      </c>
      <c r="Q10" s="35">
        <v>319</v>
      </c>
      <c r="R10" s="35">
        <v>324</v>
      </c>
      <c r="S10" s="35">
        <v>282</v>
      </c>
      <c r="T10" s="35">
        <v>322</v>
      </c>
      <c r="U10" s="35">
        <v>329</v>
      </c>
      <c r="V10" s="35"/>
      <c r="W10" s="35"/>
      <c r="X10" s="35"/>
      <c r="Y10" s="35"/>
      <c r="Z10" s="35"/>
      <c r="AA10" s="35"/>
      <c r="AB10" s="35"/>
      <c r="AC10" s="35"/>
      <c r="AD10" s="35"/>
      <c r="AE10" s="35"/>
    </row>
    <row r="11" spans="1:31" x14ac:dyDescent="0.3">
      <c r="A11" s="87" t="s">
        <v>32</v>
      </c>
      <c r="B11" s="93">
        <v>225119</v>
      </c>
      <c r="C11" s="89">
        <v>199215</v>
      </c>
      <c r="D11" s="89">
        <v>201807</v>
      </c>
      <c r="E11" s="43">
        <v>180541</v>
      </c>
      <c r="F11" s="85">
        <v>209966</v>
      </c>
      <c r="G11" s="89">
        <v>181018</v>
      </c>
      <c r="H11" s="89">
        <v>198806</v>
      </c>
      <c r="I11" s="89">
        <v>175773</v>
      </c>
      <c r="J11" s="89">
        <v>187461</v>
      </c>
      <c r="K11" s="89">
        <v>184625</v>
      </c>
      <c r="L11" s="89">
        <v>176468</v>
      </c>
      <c r="M11" s="89">
        <v>170143</v>
      </c>
      <c r="N11" s="89">
        <v>196512</v>
      </c>
      <c r="O11" s="89">
        <v>80870</v>
      </c>
      <c r="P11" s="89">
        <v>195014</v>
      </c>
      <c r="Q11" s="85">
        <v>218481</v>
      </c>
      <c r="R11" s="89">
        <v>197538</v>
      </c>
      <c r="S11" s="89">
        <v>120383</v>
      </c>
      <c r="T11" s="89">
        <v>174593</v>
      </c>
      <c r="U11" s="83">
        <v>199772</v>
      </c>
      <c r="V11" s="83"/>
      <c r="W11" s="83"/>
      <c r="X11" s="83"/>
      <c r="Y11" s="83"/>
      <c r="Z11" s="83"/>
      <c r="AA11" s="83"/>
      <c r="AB11" s="83"/>
      <c r="AC11" s="83"/>
      <c r="AD11" s="83"/>
      <c r="AE11" s="83"/>
    </row>
    <row r="12" spans="1:31" x14ac:dyDescent="0.3">
      <c r="A12" s="88"/>
      <c r="B12" s="94"/>
      <c r="C12" s="90"/>
      <c r="D12" s="90"/>
      <c r="E12" s="44"/>
      <c r="F12" s="86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86"/>
      <c r="R12" s="90"/>
      <c r="S12" s="90"/>
      <c r="T12" s="90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</row>
    <row r="13" spans="1:31" x14ac:dyDescent="0.3">
      <c r="A13" s="32" t="s">
        <v>33</v>
      </c>
      <c r="B13" s="33">
        <v>50</v>
      </c>
      <c r="C13" s="35">
        <v>67</v>
      </c>
      <c r="D13" s="35">
        <v>65</v>
      </c>
      <c r="E13" s="35">
        <v>62</v>
      </c>
      <c r="F13" s="35">
        <v>66</v>
      </c>
      <c r="G13" s="35">
        <v>79</v>
      </c>
      <c r="H13" s="35">
        <v>75</v>
      </c>
      <c r="I13" s="35">
        <v>55</v>
      </c>
      <c r="J13" s="35">
        <v>71</v>
      </c>
      <c r="K13" s="35">
        <v>64</v>
      </c>
      <c r="L13" s="35">
        <v>61</v>
      </c>
      <c r="M13" s="35">
        <v>73</v>
      </c>
      <c r="N13" s="35">
        <v>74</v>
      </c>
      <c r="O13" s="35">
        <v>47</v>
      </c>
      <c r="P13" s="35">
        <v>68</v>
      </c>
      <c r="Q13" s="35">
        <v>71</v>
      </c>
      <c r="R13" s="35">
        <v>64</v>
      </c>
      <c r="S13" s="35">
        <v>55</v>
      </c>
      <c r="T13" s="35">
        <v>80</v>
      </c>
      <c r="U13" s="35">
        <v>66</v>
      </c>
      <c r="V13" s="35"/>
      <c r="W13" s="35"/>
      <c r="X13" s="35"/>
      <c r="Y13" s="35"/>
      <c r="Z13" s="35"/>
      <c r="AA13" s="35"/>
      <c r="AB13" s="35"/>
      <c r="AC13" s="35"/>
      <c r="AD13" s="35"/>
      <c r="AE13" s="35"/>
    </row>
    <row r="14" spans="1:31" x14ac:dyDescent="0.3">
      <c r="A14" s="87" t="s">
        <v>34</v>
      </c>
      <c r="B14" s="93">
        <v>2454607</v>
      </c>
      <c r="C14" s="91">
        <v>2748960</v>
      </c>
      <c r="D14" s="91">
        <v>3232759</v>
      </c>
      <c r="E14" s="39">
        <v>2880843</v>
      </c>
      <c r="F14" s="91">
        <v>3120225</v>
      </c>
      <c r="G14" s="85">
        <v>2306218</v>
      </c>
      <c r="H14" s="91">
        <v>2764053</v>
      </c>
      <c r="I14" s="85">
        <v>1905400</v>
      </c>
      <c r="J14" s="85">
        <v>2114193</v>
      </c>
      <c r="K14" s="85">
        <v>2112740</v>
      </c>
      <c r="L14" s="85">
        <v>2103161</v>
      </c>
      <c r="M14" s="89">
        <v>2009562</v>
      </c>
      <c r="N14" s="85">
        <v>2154703</v>
      </c>
      <c r="O14" s="89">
        <v>350036</v>
      </c>
      <c r="P14" s="91">
        <v>2320848</v>
      </c>
      <c r="Q14" s="91">
        <v>2440172</v>
      </c>
      <c r="R14" s="85">
        <v>2127695</v>
      </c>
      <c r="S14" s="89">
        <v>1649939</v>
      </c>
      <c r="T14" s="91">
        <v>2029513</v>
      </c>
      <c r="U14" s="83">
        <v>2239419</v>
      </c>
      <c r="V14" s="83"/>
      <c r="W14" s="83"/>
      <c r="X14" s="83"/>
      <c r="Y14" s="83"/>
      <c r="Z14" s="83"/>
      <c r="AA14" s="83"/>
      <c r="AB14" s="83"/>
      <c r="AC14" s="83"/>
      <c r="AD14" s="83"/>
      <c r="AE14" s="83"/>
    </row>
    <row r="15" spans="1:31" x14ac:dyDescent="0.3">
      <c r="A15" s="88"/>
      <c r="B15" s="94"/>
      <c r="C15" s="92"/>
      <c r="D15" s="92"/>
      <c r="E15" s="40"/>
      <c r="F15" s="92"/>
      <c r="G15" s="86"/>
      <c r="H15" s="92"/>
      <c r="I15" s="86"/>
      <c r="J15" s="86"/>
      <c r="K15" s="86"/>
      <c r="L15" s="86"/>
      <c r="M15" s="90"/>
      <c r="N15" s="86"/>
      <c r="O15" s="90"/>
      <c r="P15" s="92"/>
      <c r="Q15" s="92"/>
      <c r="R15" s="86"/>
      <c r="S15" s="90"/>
      <c r="T15" s="92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</row>
    <row r="16" spans="1:31" x14ac:dyDescent="0.3">
      <c r="A16" s="32" t="s">
        <v>35</v>
      </c>
      <c r="B16" s="33">
        <v>574</v>
      </c>
      <c r="C16" s="35">
        <v>878</v>
      </c>
      <c r="D16" s="35">
        <v>705</v>
      </c>
      <c r="E16" s="35">
        <v>760</v>
      </c>
      <c r="F16" s="35">
        <v>780</v>
      </c>
      <c r="G16" s="35">
        <v>644</v>
      </c>
      <c r="H16" s="35">
        <v>707</v>
      </c>
      <c r="I16" s="35">
        <v>614</v>
      </c>
      <c r="J16" s="35">
        <v>667</v>
      </c>
      <c r="K16" s="35">
        <v>684</v>
      </c>
      <c r="L16" s="35">
        <v>653</v>
      </c>
      <c r="M16" s="35">
        <v>661</v>
      </c>
      <c r="N16" s="35">
        <v>708</v>
      </c>
      <c r="O16" s="35">
        <v>158</v>
      </c>
      <c r="P16" s="35">
        <v>684</v>
      </c>
      <c r="Q16" s="35">
        <v>702</v>
      </c>
      <c r="R16" s="35">
        <v>643</v>
      </c>
      <c r="S16" s="35">
        <v>544</v>
      </c>
      <c r="T16" s="35">
        <v>641</v>
      </c>
      <c r="U16" s="35">
        <v>664</v>
      </c>
      <c r="V16" s="35"/>
      <c r="W16" s="35"/>
      <c r="X16" s="35"/>
      <c r="Y16" s="35"/>
      <c r="Z16" s="35"/>
      <c r="AA16" s="35"/>
      <c r="AB16" s="35"/>
      <c r="AC16" s="35"/>
      <c r="AD16" s="35"/>
      <c r="AE16" s="35"/>
    </row>
    <row r="17" spans="1:32" x14ac:dyDescent="0.3">
      <c r="A17" s="87" t="s">
        <v>36</v>
      </c>
      <c r="B17" s="74">
        <f t="shared" ref="B17" si="0">B5+B8+B11+B14</f>
        <v>3808580</v>
      </c>
      <c r="C17" s="78">
        <f>C5+C8+C11+C14</f>
        <v>3990288</v>
      </c>
      <c r="D17" s="78">
        <f>D5+D8+D11+D14</f>
        <v>4534534</v>
      </c>
      <c r="E17" s="41">
        <f>E5+E8+E11+E14</f>
        <v>4124162</v>
      </c>
      <c r="F17" s="78">
        <v>4551848</v>
      </c>
      <c r="G17" s="80">
        <f t="shared" ref="G17" si="1">G5+G8+G11+G14</f>
        <v>3430700</v>
      </c>
      <c r="H17" s="78">
        <f>H5+H8+H11+H14</f>
        <v>4071359</v>
      </c>
      <c r="I17" s="82">
        <f>I5+I8+I11+I14</f>
        <v>3089003</v>
      </c>
      <c r="J17" s="78">
        <f>J5+J8+J11+J14</f>
        <v>3388103</v>
      </c>
      <c r="K17" s="82">
        <f>K5+K8+K11+K14</f>
        <v>3430509</v>
      </c>
      <c r="L17" s="82">
        <f>L5+L8+L11+L14</f>
        <v>3299959</v>
      </c>
      <c r="M17" s="82">
        <f t="shared" ref="M17" si="2">M5+M8+M11+M14</f>
        <v>3180366</v>
      </c>
      <c r="N17" s="82">
        <f>N5+N8+N11+N14</f>
        <v>3481348</v>
      </c>
      <c r="O17" s="76">
        <f>O5+O8+O11+O14</f>
        <v>1154912</v>
      </c>
      <c r="P17" s="78">
        <f>P5+P8+P11+P14</f>
        <v>3732630</v>
      </c>
      <c r="Q17" s="78">
        <f>Q5+Q8+Q11+Q14</f>
        <v>3907941</v>
      </c>
      <c r="R17" s="78">
        <f>R5+R8+R11+R14</f>
        <v>3527160</v>
      </c>
      <c r="S17" s="76">
        <f t="shared" ref="S17" si="3">S5+S8+S11+S14</f>
        <v>2590992.21</v>
      </c>
      <c r="T17" s="78">
        <f>T5+T8+T11+T14</f>
        <v>3382204</v>
      </c>
      <c r="U17" s="74">
        <f>U5+U8+U11+U14</f>
        <v>3613451</v>
      </c>
      <c r="V17" s="74"/>
      <c r="W17" s="74"/>
      <c r="X17" s="74"/>
      <c r="Y17" s="74"/>
      <c r="Z17" s="74"/>
      <c r="AA17" s="74"/>
      <c r="AB17" s="74"/>
      <c r="AC17" s="74"/>
      <c r="AD17" s="74"/>
      <c r="AE17" s="74"/>
    </row>
    <row r="18" spans="1:32" x14ac:dyDescent="0.3">
      <c r="A18" s="88"/>
      <c r="B18" s="75"/>
      <c r="C18" s="79"/>
      <c r="D18" s="79"/>
      <c r="E18" s="42"/>
      <c r="F18" s="79"/>
      <c r="G18" s="81"/>
      <c r="H18" s="79"/>
      <c r="I18" s="81"/>
      <c r="J18" s="79"/>
      <c r="K18" s="81"/>
      <c r="L18" s="81"/>
      <c r="M18" s="81"/>
      <c r="N18" s="81"/>
      <c r="O18" s="77"/>
      <c r="P18" s="79"/>
      <c r="Q18" s="79"/>
      <c r="R18" s="79"/>
      <c r="S18" s="77"/>
      <c r="T18" s="79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</row>
    <row r="19" spans="1:32" x14ac:dyDescent="0.3">
      <c r="A19" s="32" t="s">
        <v>37</v>
      </c>
      <c r="B19" s="36">
        <f>B7+B10+B13+B16</f>
        <v>1361</v>
      </c>
      <c r="C19" s="36" t="s">
        <v>38</v>
      </c>
      <c r="D19" s="33" t="s">
        <v>39</v>
      </c>
      <c r="E19" s="33" t="s">
        <v>57</v>
      </c>
      <c r="F19" s="33" t="s">
        <v>61</v>
      </c>
      <c r="G19" s="33" t="s">
        <v>68</v>
      </c>
      <c r="H19" s="33" t="s">
        <v>69</v>
      </c>
      <c r="I19" s="33" t="s">
        <v>74</v>
      </c>
      <c r="J19" s="33" t="s">
        <v>79</v>
      </c>
      <c r="K19" s="33" t="s">
        <v>84</v>
      </c>
      <c r="L19" s="33" t="s">
        <v>85</v>
      </c>
      <c r="M19" s="33" t="s">
        <v>89</v>
      </c>
      <c r="N19" s="33" t="s">
        <v>90</v>
      </c>
      <c r="O19" s="33" t="s">
        <v>91</v>
      </c>
      <c r="P19" s="33" t="s">
        <v>92</v>
      </c>
      <c r="Q19" s="33" t="s">
        <v>94</v>
      </c>
      <c r="R19" s="33" t="s">
        <v>95</v>
      </c>
      <c r="S19" s="33" t="s">
        <v>125</v>
      </c>
      <c r="T19" s="33" t="s">
        <v>126</v>
      </c>
      <c r="U19" s="33" t="s">
        <v>130</v>
      </c>
      <c r="V19" s="33"/>
      <c r="W19" s="33"/>
      <c r="X19" s="33"/>
      <c r="Y19" s="33"/>
      <c r="Z19" s="33"/>
      <c r="AA19" s="33"/>
      <c r="AB19" s="33"/>
      <c r="AC19" s="33"/>
      <c r="AD19" s="33"/>
      <c r="AE19" s="33"/>
    </row>
    <row r="20" spans="1:32" x14ac:dyDescent="0.3">
      <c r="AF20" s="37"/>
    </row>
  </sheetData>
  <mergeCells count="160">
    <mergeCell ref="A1:AE2"/>
    <mergeCell ref="A3:A4"/>
    <mergeCell ref="B3:B4"/>
    <mergeCell ref="C3:F3"/>
    <mergeCell ref="T3:X3"/>
    <mergeCell ref="Y3:AB3"/>
    <mergeCell ref="AC3:AE3"/>
    <mergeCell ref="I5:I6"/>
    <mergeCell ref="J5:J6"/>
    <mergeCell ref="K5:K6"/>
    <mergeCell ref="L5:L6"/>
    <mergeCell ref="T5:T6"/>
    <mergeCell ref="U5:U6"/>
    <mergeCell ref="A5:A6"/>
    <mergeCell ref="B5:B6"/>
    <mergeCell ref="C5:C6"/>
    <mergeCell ref="K3:N3"/>
    <mergeCell ref="D5:D6"/>
    <mergeCell ref="F5:F6"/>
    <mergeCell ref="AE5:AE6"/>
    <mergeCell ref="Z5:Z6"/>
    <mergeCell ref="AA5:AA6"/>
    <mergeCell ref="AB5:AB6"/>
    <mergeCell ref="AC5:AC6"/>
    <mergeCell ref="A8:A9"/>
    <mergeCell ref="B8:B9"/>
    <mergeCell ref="C8:C9"/>
    <mergeCell ref="D8:D9"/>
    <mergeCell ref="F8:F9"/>
    <mergeCell ref="G8:G9"/>
    <mergeCell ref="H8:H9"/>
    <mergeCell ref="I8:I9"/>
    <mergeCell ref="Y5:Y6"/>
    <mergeCell ref="AE11:AE12"/>
    <mergeCell ref="AD11:AD12"/>
    <mergeCell ref="A11:A12"/>
    <mergeCell ref="B11:B12"/>
    <mergeCell ref="C11:C12"/>
    <mergeCell ref="D11:D12"/>
    <mergeCell ref="F11:F12"/>
    <mergeCell ref="V8:V9"/>
    <mergeCell ref="W8:W9"/>
    <mergeCell ref="X8:X9"/>
    <mergeCell ref="Y8:Y9"/>
    <mergeCell ref="P8:P9"/>
    <mergeCell ref="Q8:Q9"/>
    <mergeCell ref="R8:R9"/>
    <mergeCell ref="S8:S9"/>
    <mergeCell ref="T8:T9"/>
    <mergeCell ref="U8:U9"/>
    <mergeCell ref="J8:J9"/>
    <mergeCell ref="K8:K9"/>
    <mergeCell ref="W11:W12"/>
    <mergeCell ref="X11:X12"/>
    <mergeCell ref="G11:G12"/>
    <mergeCell ref="H11:H12"/>
    <mergeCell ref="I11:I12"/>
    <mergeCell ref="G5:G6"/>
    <mergeCell ref="H5:H6"/>
    <mergeCell ref="AE8:AE9"/>
    <mergeCell ref="Z8:Z9"/>
    <mergeCell ref="AA8:AA9"/>
    <mergeCell ref="N5:N6"/>
    <mergeCell ref="O5:O6"/>
    <mergeCell ref="P5:P6"/>
    <mergeCell ref="Q5:Q6"/>
    <mergeCell ref="R5:R6"/>
    <mergeCell ref="AD5:AD6"/>
    <mergeCell ref="S5:S6"/>
    <mergeCell ref="W5:W6"/>
    <mergeCell ref="X5:X6"/>
    <mergeCell ref="M5:M6"/>
    <mergeCell ref="V5:V6"/>
    <mergeCell ref="AB8:AB9"/>
    <mergeCell ref="AC8:AC9"/>
    <mergeCell ref="AD8:AD9"/>
    <mergeCell ref="AB14:AB15"/>
    <mergeCell ref="AC14:AC15"/>
    <mergeCell ref="O8:O9"/>
    <mergeCell ref="P11:P12"/>
    <mergeCell ref="Q11:Q12"/>
    <mergeCell ref="R11:R12"/>
    <mergeCell ref="L8:L9"/>
    <mergeCell ref="M8:M9"/>
    <mergeCell ref="N8:N9"/>
    <mergeCell ref="U14:U15"/>
    <mergeCell ref="W14:W15"/>
    <mergeCell ref="X14:X15"/>
    <mergeCell ref="Y14:Y15"/>
    <mergeCell ref="Z11:Z12"/>
    <mergeCell ref="AA11:AA12"/>
    <mergeCell ref="AB11:AB12"/>
    <mergeCell ref="AC11:AC12"/>
    <mergeCell ref="L11:L12"/>
    <mergeCell ref="O11:O12"/>
    <mergeCell ref="M11:M12"/>
    <mergeCell ref="A14:A15"/>
    <mergeCell ref="B14:B15"/>
    <mergeCell ref="C14:C15"/>
    <mergeCell ref="D14:D15"/>
    <mergeCell ref="F14:F15"/>
    <mergeCell ref="G14:G15"/>
    <mergeCell ref="H14:H15"/>
    <mergeCell ref="I14:I15"/>
    <mergeCell ref="Y11:Y12"/>
    <mergeCell ref="S11:S12"/>
    <mergeCell ref="T11:T12"/>
    <mergeCell ref="U11:U12"/>
    <mergeCell ref="V11:V12"/>
    <mergeCell ref="N11:N12"/>
    <mergeCell ref="J11:J12"/>
    <mergeCell ref="K11:K12"/>
    <mergeCell ref="AE14:AE15"/>
    <mergeCell ref="J14:J15"/>
    <mergeCell ref="K14:K15"/>
    <mergeCell ref="L14:L15"/>
    <mergeCell ref="A17:A18"/>
    <mergeCell ref="B17:B18"/>
    <mergeCell ref="C17:C18"/>
    <mergeCell ref="D17:D18"/>
    <mergeCell ref="F17:F18"/>
    <mergeCell ref="V14:V15"/>
    <mergeCell ref="M17:M18"/>
    <mergeCell ref="N17:N18"/>
    <mergeCell ref="O17:O18"/>
    <mergeCell ref="M14:M15"/>
    <mergeCell ref="N14:N15"/>
    <mergeCell ref="O14:O15"/>
    <mergeCell ref="AD14:AD15"/>
    <mergeCell ref="Z14:Z15"/>
    <mergeCell ref="AA14:AA15"/>
    <mergeCell ref="P14:P15"/>
    <mergeCell ref="Q14:Q15"/>
    <mergeCell ref="R14:R15"/>
    <mergeCell ref="S14:S15"/>
    <mergeCell ref="T14:T15"/>
    <mergeCell ref="O3:S3"/>
    <mergeCell ref="G3:J3"/>
    <mergeCell ref="AE17:AE18"/>
    <mergeCell ref="Y17:Y18"/>
    <mergeCell ref="Z17:Z18"/>
    <mergeCell ref="AA17:AA18"/>
    <mergeCell ref="AB17:AB18"/>
    <mergeCell ref="AC17:AC18"/>
    <mergeCell ref="AD17:AD18"/>
    <mergeCell ref="S17:S18"/>
    <mergeCell ref="T17:T18"/>
    <mergeCell ref="U17:U18"/>
    <mergeCell ref="V17:V18"/>
    <mergeCell ref="W17:W18"/>
    <mergeCell ref="X17:X18"/>
    <mergeCell ref="P17:P18"/>
    <mergeCell ref="Q17:Q18"/>
    <mergeCell ref="R17:R18"/>
    <mergeCell ref="G17:G18"/>
    <mergeCell ref="H17:H18"/>
    <mergeCell ref="I17:I18"/>
    <mergeCell ref="J17:J18"/>
    <mergeCell ref="K17:K18"/>
    <mergeCell ref="L17:L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"/>
  <sheetViews>
    <sheetView zoomScale="86" zoomScaleNormal="86" workbookViewId="0">
      <selection activeCell="N13" sqref="N13"/>
    </sheetView>
  </sheetViews>
  <sheetFormatPr baseColWidth="10" defaultRowHeight="14.4" x14ac:dyDescent="0.3"/>
  <cols>
    <col min="1" max="1" width="32.44140625" customWidth="1"/>
    <col min="2" max="2" width="19.44140625" customWidth="1"/>
    <col min="3" max="3" width="17.109375" hidden="1" customWidth="1"/>
    <col min="4" max="4" width="18.44140625" hidden="1" customWidth="1"/>
    <col min="5" max="5" width="14.21875" hidden="1" customWidth="1"/>
    <col min="6" max="7" width="14.109375" hidden="1" customWidth="1"/>
    <col min="8" max="8" width="12.88671875" hidden="1" customWidth="1"/>
    <col min="9" max="9" width="0" hidden="1" customWidth="1"/>
    <col min="10" max="10" width="14.109375" hidden="1" customWidth="1"/>
    <col min="11" max="11" width="12.21875" bestFit="1" customWidth="1"/>
    <col min="12" max="12" width="14.88671875" customWidth="1"/>
    <col min="13" max="19" width="17" customWidth="1"/>
  </cols>
  <sheetData>
    <row r="1" spans="1:19" x14ac:dyDescent="0.3">
      <c r="A1" s="1"/>
      <c r="B1" s="1"/>
      <c r="C1" s="103" t="s">
        <v>62</v>
      </c>
      <c r="D1" s="103"/>
      <c r="E1" s="103"/>
      <c r="F1" s="103"/>
      <c r="G1" s="104" t="s">
        <v>63</v>
      </c>
      <c r="H1" s="105"/>
      <c r="I1" s="105"/>
      <c r="J1" s="106"/>
      <c r="K1" s="107" t="s">
        <v>93</v>
      </c>
      <c r="L1" s="108"/>
      <c r="M1" s="109"/>
      <c r="N1" s="110" t="s">
        <v>11</v>
      </c>
      <c r="O1" s="110"/>
      <c r="P1" s="110"/>
      <c r="Q1" s="110"/>
      <c r="R1" s="110" t="s">
        <v>12</v>
      </c>
      <c r="S1" s="110"/>
    </row>
    <row r="2" spans="1:19" ht="15.6" x14ac:dyDescent="0.3">
      <c r="A2" s="53" t="s">
        <v>0</v>
      </c>
      <c r="B2" s="53" t="s">
        <v>1</v>
      </c>
      <c r="C2" s="38">
        <v>9</v>
      </c>
      <c r="D2" s="38">
        <v>16</v>
      </c>
      <c r="E2" s="38">
        <v>23</v>
      </c>
      <c r="F2" s="38">
        <v>30</v>
      </c>
      <c r="G2" s="38">
        <v>7</v>
      </c>
      <c r="H2" s="38">
        <v>13</v>
      </c>
      <c r="I2" s="38">
        <v>20</v>
      </c>
      <c r="J2" s="62">
        <v>27</v>
      </c>
      <c r="K2" s="111">
        <v>46101</v>
      </c>
      <c r="L2" s="111" t="s">
        <v>131</v>
      </c>
      <c r="M2" s="111">
        <v>46115</v>
      </c>
      <c r="N2" s="111">
        <v>46122</v>
      </c>
      <c r="O2" s="111">
        <v>46129</v>
      </c>
      <c r="P2" s="111" t="s">
        <v>132</v>
      </c>
      <c r="Q2" s="111">
        <v>46143</v>
      </c>
      <c r="R2" s="111">
        <v>46120</v>
      </c>
      <c r="S2" s="111" t="s">
        <v>133</v>
      </c>
    </row>
    <row r="3" spans="1:19" x14ac:dyDescent="0.3">
      <c r="A3" s="54" t="s">
        <v>2</v>
      </c>
      <c r="B3" s="55">
        <v>2162073</v>
      </c>
      <c r="C3" s="50">
        <v>2993212</v>
      </c>
      <c r="D3" s="56">
        <v>2134244</v>
      </c>
      <c r="E3" s="51">
        <v>2321293</v>
      </c>
      <c r="F3" s="52">
        <v>2108290</v>
      </c>
      <c r="G3" s="57">
        <v>1869438</v>
      </c>
      <c r="H3" s="15">
        <v>2917073</v>
      </c>
      <c r="I3" s="13">
        <v>141497.87</v>
      </c>
      <c r="J3" s="56">
        <v>1458055</v>
      </c>
      <c r="K3" s="13">
        <v>1662177</v>
      </c>
      <c r="L3" s="67">
        <v>3140581</v>
      </c>
      <c r="M3" s="66">
        <v>1586924</v>
      </c>
      <c r="N3" s="66">
        <v>2300827</v>
      </c>
      <c r="O3" s="66">
        <v>2173816</v>
      </c>
      <c r="P3" s="68">
        <v>2261191</v>
      </c>
      <c r="Q3" s="66">
        <v>2156561</v>
      </c>
      <c r="R3" s="66">
        <v>2558022</v>
      </c>
      <c r="S3" s="66">
        <v>1973058</v>
      </c>
    </row>
    <row r="4" spans="1:19" ht="28.8" x14ac:dyDescent="0.3">
      <c r="A4" s="54" t="s">
        <v>3</v>
      </c>
      <c r="B4" s="35" t="s">
        <v>40</v>
      </c>
      <c r="C4" s="45">
        <v>23</v>
      </c>
      <c r="D4" s="45">
        <v>28</v>
      </c>
      <c r="E4" s="45">
        <v>19</v>
      </c>
      <c r="F4" s="45">
        <v>32</v>
      </c>
      <c r="G4" s="58">
        <v>29</v>
      </c>
      <c r="H4" s="49">
        <v>32</v>
      </c>
      <c r="I4" s="58">
        <v>28</v>
      </c>
      <c r="J4" s="46">
        <v>27</v>
      </c>
      <c r="K4" s="13">
        <v>24</v>
      </c>
      <c r="L4" s="45">
        <v>18</v>
      </c>
      <c r="M4" s="45">
        <v>20</v>
      </c>
      <c r="N4" s="45">
        <v>23</v>
      </c>
      <c r="O4" s="45">
        <v>17</v>
      </c>
      <c r="P4" s="45">
        <v>24</v>
      </c>
      <c r="Q4" s="45">
        <v>21</v>
      </c>
      <c r="R4" s="45">
        <v>27</v>
      </c>
      <c r="S4" s="58">
        <v>31</v>
      </c>
    </row>
    <row r="5" spans="1:19" ht="28.8" x14ac:dyDescent="0.3">
      <c r="A5" s="54" t="s">
        <v>4</v>
      </c>
      <c r="B5" s="35" t="s">
        <v>41</v>
      </c>
      <c r="C5" s="45" t="s">
        <v>42</v>
      </c>
      <c r="D5" s="45" t="s">
        <v>43</v>
      </c>
      <c r="E5" s="45" t="s">
        <v>53</v>
      </c>
      <c r="F5" s="45" t="s">
        <v>58</v>
      </c>
      <c r="G5" s="45" t="s">
        <v>64</v>
      </c>
      <c r="H5" s="59" t="s">
        <v>70</v>
      </c>
      <c r="I5" s="49" t="s">
        <v>75</v>
      </c>
      <c r="J5" s="46" t="s">
        <v>80</v>
      </c>
      <c r="K5" s="13" t="s">
        <v>86</v>
      </c>
      <c r="L5" s="45" t="s">
        <v>96</v>
      </c>
      <c r="M5" s="45" t="s">
        <v>97</v>
      </c>
      <c r="N5" s="45" t="s">
        <v>104</v>
      </c>
      <c r="O5" s="45" t="s">
        <v>105</v>
      </c>
      <c r="P5" s="45" t="s">
        <v>106</v>
      </c>
      <c r="Q5" s="45" t="s">
        <v>107</v>
      </c>
      <c r="R5" s="45" t="s">
        <v>120</v>
      </c>
      <c r="S5" s="58" t="s">
        <v>127</v>
      </c>
    </row>
    <row r="6" spans="1:19" ht="28.8" x14ac:dyDescent="0.3">
      <c r="A6" s="54" t="s">
        <v>5</v>
      </c>
      <c r="B6" s="35" t="s">
        <v>44</v>
      </c>
      <c r="C6" s="45" t="s">
        <v>45</v>
      </c>
      <c r="D6" s="46" t="s">
        <v>46</v>
      </c>
      <c r="E6" s="45" t="s">
        <v>54</v>
      </c>
      <c r="F6" s="13" t="s">
        <v>59</v>
      </c>
      <c r="G6" s="13" t="s">
        <v>65</v>
      </c>
      <c r="H6" s="13" t="s">
        <v>71</v>
      </c>
      <c r="I6" s="13" t="s">
        <v>76</v>
      </c>
      <c r="J6" s="46" t="s">
        <v>81</v>
      </c>
      <c r="K6" s="13" t="s">
        <v>87</v>
      </c>
      <c r="L6" s="45" t="s">
        <v>98</v>
      </c>
      <c r="M6" s="45" t="s">
        <v>99</v>
      </c>
      <c r="N6" s="45" t="s">
        <v>108</v>
      </c>
      <c r="O6" s="45" t="s">
        <v>109</v>
      </c>
      <c r="P6" s="45" t="s">
        <v>110</v>
      </c>
      <c r="Q6" s="45" t="s">
        <v>111</v>
      </c>
      <c r="R6" s="45" t="s">
        <v>121</v>
      </c>
      <c r="S6" s="45" t="s">
        <v>128</v>
      </c>
    </row>
    <row r="7" spans="1:19" x14ac:dyDescent="0.3">
      <c r="A7" s="54" t="s">
        <v>6</v>
      </c>
      <c r="B7" s="60" t="s">
        <v>47</v>
      </c>
      <c r="C7" s="47" t="s">
        <v>48</v>
      </c>
      <c r="D7" s="15" t="s">
        <v>49</v>
      </c>
      <c r="E7" s="49" t="s">
        <v>55</v>
      </c>
      <c r="F7" s="13" t="s">
        <v>60</v>
      </c>
      <c r="G7" s="13" t="s">
        <v>66</v>
      </c>
      <c r="H7" s="13" t="s">
        <v>72</v>
      </c>
      <c r="I7" s="61" t="s">
        <v>77</v>
      </c>
      <c r="J7" s="46" t="s">
        <v>82</v>
      </c>
      <c r="K7" s="1"/>
      <c r="L7" s="58" t="s">
        <v>100</v>
      </c>
      <c r="M7" s="45" t="s">
        <v>101</v>
      </c>
      <c r="N7" s="45" t="s">
        <v>112</v>
      </c>
      <c r="O7" s="45" t="s">
        <v>113</v>
      </c>
      <c r="P7" s="45" t="s">
        <v>114</v>
      </c>
      <c r="Q7" s="45" t="s">
        <v>115</v>
      </c>
      <c r="R7" s="45" t="s">
        <v>122</v>
      </c>
      <c r="S7" s="58" t="s">
        <v>129</v>
      </c>
    </row>
    <row r="8" spans="1:19" ht="28.8" x14ac:dyDescent="0.3">
      <c r="A8" s="54" t="s">
        <v>7</v>
      </c>
      <c r="B8" s="35" t="s">
        <v>50</v>
      </c>
      <c r="C8" s="46" t="s">
        <v>51</v>
      </c>
      <c r="D8" s="46" t="s">
        <v>52</v>
      </c>
      <c r="E8" s="45" t="s">
        <v>56</v>
      </c>
      <c r="F8" s="1"/>
      <c r="G8" s="13" t="s">
        <v>67</v>
      </c>
      <c r="H8" s="13" t="s">
        <v>73</v>
      </c>
      <c r="I8" s="13" t="s">
        <v>78</v>
      </c>
      <c r="J8" s="46" t="s">
        <v>83</v>
      </c>
      <c r="K8" s="13" t="s">
        <v>88</v>
      </c>
      <c r="L8" s="45" t="s">
        <v>102</v>
      </c>
      <c r="M8" s="45" t="s">
        <v>103</v>
      </c>
      <c r="N8" s="45" t="s">
        <v>116</v>
      </c>
      <c r="O8" s="45" t="s">
        <v>117</v>
      </c>
      <c r="P8" s="45" t="s">
        <v>118</v>
      </c>
      <c r="Q8" s="45" t="s">
        <v>119</v>
      </c>
      <c r="R8" s="45" t="s">
        <v>123</v>
      </c>
      <c r="S8" s="45" t="s">
        <v>124</v>
      </c>
    </row>
    <row r="9" spans="1:19" ht="28.8" x14ac:dyDescent="0.3">
      <c r="A9" s="54" t="s">
        <v>8</v>
      </c>
      <c r="B9" s="35">
        <v>3</v>
      </c>
      <c r="C9" s="45">
        <v>2</v>
      </c>
      <c r="D9" s="45">
        <v>2</v>
      </c>
      <c r="E9" s="45">
        <v>3</v>
      </c>
      <c r="F9" s="1"/>
      <c r="G9" s="45">
        <v>2</v>
      </c>
      <c r="H9" s="45">
        <v>2</v>
      </c>
      <c r="I9" s="45">
        <v>2</v>
      </c>
      <c r="J9" s="46">
        <v>2</v>
      </c>
      <c r="K9" s="13">
        <v>2</v>
      </c>
      <c r="L9" s="45">
        <v>2</v>
      </c>
      <c r="M9" s="45">
        <v>3</v>
      </c>
      <c r="N9" s="45">
        <v>5</v>
      </c>
      <c r="O9" s="45">
        <v>1</v>
      </c>
      <c r="P9" s="45">
        <v>3</v>
      </c>
      <c r="Q9" s="45">
        <v>2</v>
      </c>
      <c r="R9" s="45">
        <v>2</v>
      </c>
      <c r="S9" s="45">
        <v>2</v>
      </c>
    </row>
  </sheetData>
  <mergeCells count="5">
    <mergeCell ref="C1:F1"/>
    <mergeCell ref="G1:J1"/>
    <mergeCell ref="R1:S1"/>
    <mergeCell ref="N1:Q1"/>
    <mergeCell ref="K1:M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40"/>
  <sheetViews>
    <sheetView workbookViewId="0">
      <selection activeCell="BA9" sqref="BA9"/>
    </sheetView>
  </sheetViews>
  <sheetFormatPr baseColWidth="10" defaultRowHeight="14.4" x14ac:dyDescent="0.3"/>
  <cols>
    <col min="1" max="1" width="2" bestFit="1" customWidth="1"/>
    <col min="2" max="2" width="21.44140625" customWidth="1"/>
    <col min="3" max="3" width="14.109375" customWidth="1"/>
    <col min="4" max="15" width="14.109375" hidden="1" customWidth="1"/>
    <col min="16" max="25" width="15.44140625" hidden="1" customWidth="1"/>
    <col min="26" max="44" width="18" hidden="1" customWidth="1"/>
    <col min="45" max="54" width="18" customWidth="1"/>
    <col min="55" max="55" width="17" bestFit="1" customWidth="1"/>
    <col min="56" max="56" width="14.109375" bestFit="1" customWidth="1"/>
  </cols>
  <sheetData>
    <row r="1" spans="1:55" x14ac:dyDescent="0.3">
      <c r="B1" t="s">
        <v>9</v>
      </c>
    </row>
    <row r="2" spans="1:55" x14ac:dyDescent="0.3">
      <c r="B2" t="s">
        <v>10</v>
      </c>
    </row>
    <row r="4" spans="1:55" x14ac:dyDescent="0.3">
      <c r="A4" s="1"/>
      <c r="B4" s="70" t="s">
        <v>0</v>
      </c>
      <c r="C4" s="70" t="s">
        <v>1</v>
      </c>
      <c r="D4" s="70" t="s">
        <v>11</v>
      </c>
      <c r="E4" s="70"/>
      <c r="F4" s="70"/>
      <c r="G4" s="70"/>
      <c r="H4" s="70" t="s">
        <v>12</v>
      </c>
      <c r="I4" s="70"/>
      <c r="J4" s="70"/>
      <c r="K4" s="70"/>
      <c r="L4" s="70"/>
      <c r="M4" s="70" t="s">
        <v>13</v>
      </c>
      <c r="N4" s="70"/>
      <c r="O4" s="70"/>
      <c r="P4" s="70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1" t="s">
        <v>14</v>
      </c>
    </row>
    <row r="5" spans="1:55" x14ac:dyDescent="0.3">
      <c r="A5" s="1"/>
      <c r="B5" s="70"/>
      <c r="C5" s="70"/>
      <c r="D5" s="3">
        <v>5</v>
      </c>
      <c r="E5" s="3">
        <v>12</v>
      </c>
      <c r="F5" s="3">
        <v>19</v>
      </c>
      <c r="G5" s="3">
        <v>26</v>
      </c>
      <c r="H5" s="3">
        <v>3</v>
      </c>
      <c r="I5" s="3">
        <v>10</v>
      </c>
      <c r="J5" s="3">
        <v>17</v>
      </c>
      <c r="K5" s="3">
        <v>24</v>
      </c>
      <c r="L5" s="3">
        <v>31</v>
      </c>
      <c r="M5" s="3">
        <v>7</v>
      </c>
      <c r="N5" s="3">
        <v>14</v>
      </c>
      <c r="O5" s="3">
        <v>21</v>
      </c>
      <c r="P5" s="3">
        <v>28</v>
      </c>
      <c r="Q5" s="3">
        <v>5</v>
      </c>
      <c r="R5" s="3">
        <v>11</v>
      </c>
      <c r="S5" s="3"/>
      <c r="T5" s="3">
        <v>25</v>
      </c>
      <c r="U5" s="3"/>
      <c r="V5" s="3">
        <v>8</v>
      </c>
      <c r="W5" s="3">
        <v>15</v>
      </c>
      <c r="X5" s="3">
        <v>22</v>
      </c>
      <c r="Y5" s="3">
        <v>29</v>
      </c>
      <c r="Z5" s="3">
        <v>5</v>
      </c>
      <c r="AA5" s="3">
        <v>12</v>
      </c>
      <c r="AB5" s="3">
        <v>19</v>
      </c>
      <c r="AC5" s="3">
        <v>26</v>
      </c>
      <c r="AD5" s="3">
        <v>3</v>
      </c>
      <c r="AE5" s="3">
        <v>10</v>
      </c>
      <c r="AF5" s="4">
        <v>45947</v>
      </c>
      <c r="AG5" s="4">
        <v>45954</v>
      </c>
      <c r="AH5" s="4">
        <v>45961</v>
      </c>
      <c r="AI5" s="4">
        <v>42378</v>
      </c>
      <c r="AJ5" s="4">
        <v>46038</v>
      </c>
      <c r="AK5" s="4"/>
      <c r="AL5" s="4">
        <v>46052</v>
      </c>
      <c r="AM5" s="4">
        <v>46060</v>
      </c>
      <c r="AN5" s="4">
        <v>46066</v>
      </c>
      <c r="AO5" s="4">
        <v>46073</v>
      </c>
      <c r="AP5" s="4">
        <v>46080</v>
      </c>
      <c r="AQ5" s="65">
        <v>46087</v>
      </c>
      <c r="AR5" s="65">
        <v>46094</v>
      </c>
      <c r="AS5" s="65">
        <v>46101</v>
      </c>
      <c r="AT5" s="65">
        <v>46108</v>
      </c>
      <c r="AU5" s="65">
        <v>46115</v>
      </c>
      <c r="AV5" s="65">
        <v>46122</v>
      </c>
      <c r="AW5" s="65">
        <v>46129</v>
      </c>
      <c r="AX5" s="65">
        <v>46136</v>
      </c>
      <c r="AY5" s="65">
        <v>46144</v>
      </c>
      <c r="AZ5" s="65">
        <v>45786</v>
      </c>
      <c r="BA5" s="65">
        <v>46158</v>
      </c>
      <c r="BB5" s="65"/>
      <c r="BC5" s="1"/>
    </row>
    <row r="6" spans="1:55" x14ac:dyDescent="0.3">
      <c r="A6" s="1">
        <v>1</v>
      </c>
      <c r="B6" s="5" t="s">
        <v>15</v>
      </c>
      <c r="C6" s="6">
        <v>3544582.81</v>
      </c>
      <c r="D6" s="7">
        <v>1337511.1400000001</v>
      </c>
      <c r="E6" s="8">
        <f>2169776.58+44019+49498.5+99287</f>
        <v>2362581.08</v>
      </c>
      <c r="F6" s="7">
        <f>1936302.12+143089</f>
        <v>2079391.12</v>
      </c>
      <c r="G6" s="9">
        <v>2519041.1199999996</v>
      </c>
      <c r="H6" s="9">
        <v>3368200.66</v>
      </c>
      <c r="I6" s="9">
        <f>2593576.15+90975+195061+62033</f>
        <v>2941645.15</v>
      </c>
      <c r="J6" s="8">
        <f>2241263.97+23661</f>
        <v>2264924.9700000002</v>
      </c>
      <c r="K6" s="9">
        <f>133480.31+3148033.84</f>
        <v>3281514.15</v>
      </c>
      <c r="L6" s="10">
        <f>3686868.86+19629</f>
        <v>3706497.86</v>
      </c>
      <c r="M6" s="9">
        <f>2164161.53+158607</f>
        <v>2322768.5299999998</v>
      </c>
      <c r="N6" s="9">
        <f>2190870.7+282871.33</f>
        <v>2473742.0300000003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>
        <f>3771899+176831</f>
        <v>3948730</v>
      </c>
      <c r="Z6" s="11"/>
      <c r="AA6" s="11"/>
      <c r="AB6" s="11"/>
      <c r="AC6" s="11"/>
      <c r="AD6" s="11"/>
      <c r="AE6" s="11"/>
      <c r="AF6" s="11"/>
      <c r="AG6" s="11"/>
      <c r="AH6" s="11"/>
      <c r="AI6" s="7">
        <f>2553683.08+263545.59+124088.55+25073.91</f>
        <v>2966391.13</v>
      </c>
      <c r="AJ6" s="7">
        <f>1800242.21+169462.26+48142.21+76750.37</f>
        <v>2094597.0499999998</v>
      </c>
      <c r="AK6" s="7">
        <f>317112+1975061+29845+4230+45000+136000</f>
        <v>2507248</v>
      </c>
      <c r="AL6" s="9">
        <f>3061584+258218+402589+21343+10512</f>
        <v>3754246</v>
      </c>
      <c r="AM6" s="11"/>
      <c r="AN6" s="7">
        <f>2812752.12+207094.64+240553+70000</f>
        <v>3330399.7600000002</v>
      </c>
      <c r="AO6" s="7">
        <f>2542505+44914.44+212903+46806</f>
        <v>2847128.44</v>
      </c>
      <c r="AP6" s="7"/>
      <c r="AQ6" s="7">
        <f>1784387.87+43111.69+57692.88+363211.21</f>
        <v>2248403.65</v>
      </c>
      <c r="AR6" s="7">
        <f>224007.52+83593.93+2450085.95</f>
        <v>2757687.4000000004</v>
      </c>
      <c r="AS6" s="7">
        <f>2575164.3+33742.09+130198.03+248337.5</f>
        <v>2987441.9199999995</v>
      </c>
      <c r="AT6" s="7">
        <f>2404409.56+2618.69+41666.6+250046.19</f>
        <v>2698741.04</v>
      </c>
      <c r="AU6" s="7">
        <f>117859.53+2328329.39+204636.61+16174.3</f>
        <v>2666999.8299999996</v>
      </c>
      <c r="AV6" s="7">
        <f>2124641.78+49089+296942.04+52579.72</f>
        <v>2523252.54</v>
      </c>
      <c r="AW6" s="9">
        <f>27751.63+317375.07+42999.95+2708450.93</f>
        <v>3096577.58</v>
      </c>
      <c r="AX6" s="9">
        <f>3106015.24+149383.72+267200.12+107372.73</f>
        <v>3629971.8100000005</v>
      </c>
      <c r="AY6" s="69">
        <f>2868291.81+27311.05+212002+30741.44</f>
        <v>3138346.3</v>
      </c>
      <c r="AZ6" s="7">
        <f>2387738.06+65820.04+312184.05+25730.85</f>
        <v>2791473</v>
      </c>
      <c r="BA6" s="7">
        <f>2609038+98407+253737+11105</f>
        <v>2972287</v>
      </c>
      <c r="BB6" s="9"/>
      <c r="BC6" s="1" t="s">
        <v>16</v>
      </c>
    </row>
    <row r="7" spans="1:55" x14ac:dyDescent="0.3">
      <c r="A7" s="1">
        <v>2</v>
      </c>
      <c r="B7" s="5" t="s">
        <v>17</v>
      </c>
      <c r="C7" s="12" t="s">
        <v>18</v>
      </c>
      <c r="D7" s="13">
        <v>28</v>
      </c>
      <c r="E7" s="13">
        <v>31</v>
      </c>
      <c r="F7" s="14">
        <v>37</v>
      </c>
      <c r="G7" s="15">
        <v>39</v>
      </c>
      <c r="H7" s="14">
        <v>37</v>
      </c>
      <c r="I7" s="13">
        <v>32</v>
      </c>
      <c r="J7" s="13">
        <v>27</v>
      </c>
      <c r="K7" s="13">
        <v>24</v>
      </c>
      <c r="L7" s="16">
        <v>27</v>
      </c>
      <c r="M7" s="13">
        <v>27</v>
      </c>
      <c r="N7" s="13">
        <v>28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5">
        <v>53</v>
      </c>
      <c r="AJ7" s="13">
        <v>32</v>
      </c>
      <c r="AK7" s="13">
        <v>25</v>
      </c>
      <c r="AL7" s="13">
        <v>22</v>
      </c>
      <c r="AM7" s="13">
        <v>25</v>
      </c>
      <c r="AN7" s="13">
        <v>26</v>
      </c>
      <c r="AO7" s="13">
        <v>29</v>
      </c>
      <c r="AP7" s="13">
        <v>25.4</v>
      </c>
      <c r="AQ7" s="13">
        <v>32.840000000000003</v>
      </c>
      <c r="AR7" s="13">
        <v>29</v>
      </c>
      <c r="AS7" s="13">
        <v>30</v>
      </c>
      <c r="AT7" s="13">
        <v>27.72</v>
      </c>
      <c r="AU7" s="13">
        <v>33.99</v>
      </c>
      <c r="AV7" s="13">
        <v>31.97</v>
      </c>
      <c r="AW7" s="13">
        <v>30.44</v>
      </c>
      <c r="AX7" s="13">
        <v>29.55</v>
      </c>
      <c r="AY7" s="13">
        <v>27</v>
      </c>
      <c r="AZ7" s="13">
        <v>30</v>
      </c>
      <c r="BA7" s="13">
        <v>35</v>
      </c>
      <c r="BB7" s="13"/>
      <c r="BC7" s="1" t="s">
        <v>16</v>
      </c>
    </row>
    <row r="8" spans="1:55" x14ac:dyDescent="0.3">
      <c r="A8" s="1">
        <v>3</v>
      </c>
      <c r="B8" s="5" t="s">
        <v>19</v>
      </c>
      <c r="C8" s="17" t="s">
        <v>24</v>
      </c>
      <c r="D8" s="18">
        <v>0.30590000000000001</v>
      </c>
      <c r="E8" s="19">
        <v>0.3458</v>
      </c>
      <c r="F8" s="19">
        <v>0.39689999999999998</v>
      </c>
      <c r="G8" s="19">
        <v>0.40600000000000003</v>
      </c>
      <c r="H8" s="19">
        <v>0.40689999999999998</v>
      </c>
      <c r="I8" s="19">
        <v>0.35820000000000002</v>
      </c>
      <c r="J8" s="18">
        <v>0.30009999999999998</v>
      </c>
      <c r="K8" s="20">
        <v>0.33929999999999999</v>
      </c>
      <c r="L8" s="21">
        <v>0.33889999999999998</v>
      </c>
      <c r="M8" s="18">
        <v>0.31169999999999998</v>
      </c>
      <c r="N8" s="19">
        <v>0.34489999999999998</v>
      </c>
      <c r="O8" s="22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48">
        <v>35</v>
      </c>
      <c r="AJ8" s="13">
        <v>33</v>
      </c>
      <c r="AK8" s="15">
        <v>48</v>
      </c>
      <c r="AL8" s="13">
        <v>28</v>
      </c>
      <c r="AM8" s="13">
        <v>32</v>
      </c>
      <c r="AN8" s="13">
        <v>32</v>
      </c>
      <c r="AO8" s="15">
        <v>42</v>
      </c>
      <c r="AP8" s="13">
        <v>33.11</v>
      </c>
      <c r="AQ8" s="13">
        <v>28.06</v>
      </c>
      <c r="AR8" s="13"/>
      <c r="AS8" s="13"/>
      <c r="AT8" s="13"/>
      <c r="AU8" s="13"/>
      <c r="AV8" s="13"/>
      <c r="AW8" s="13"/>
      <c r="AX8" s="13">
        <v>35.64</v>
      </c>
      <c r="AY8" s="13">
        <v>40</v>
      </c>
      <c r="AZ8" s="13">
        <v>34</v>
      </c>
      <c r="BA8" s="13">
        <v>33</v>
      </c>
      <c r="BB8" s="13"/>
      <c r="BC8" s="1" t="s">
        <v>16</v>
      </c>
    </row>
    <row r="9" spans="1:55" x14ac:dyDescent="0.3">
      <c r="A9" s="1">
        <v>4</v>
      </c>
      <c r="B9" s="5" t="s">
        <v>20</v>
      </c>
      <c r="C9" s="6">
        <v>3055000</v>
      </c>
      <c r="D9" s="7">
        <v>1230085.94</v>
      </c>
      <c r="E9" s="7">
        <v>1171121.3600000001</v>
      </c>
      <c r="F9" s="8">
        <v>2003448.23</v>
      </c>
      <c r="G9" s="9">
        <v>2639161.46</v>
      </c>
      <c r="H9" s="7">
        <v>2045116</v>
      </c>
      <c r="I9" s="8">
        <v>2270755</v>
      </c>
      <c r="J9" s="9">
        <v>2554875</v>
      </c>
      <c r="K9" s="23">
        <v>1774009.65</v>
      </c>
      <c r="L9" s="24">
        <v>3534841.6300000004</v>
      </c>
      <c r="M9" s="7">
        <f>894949+26544+309688</f>
        <v>1231181</v>
      </c>
      <c r="N9" s="7">
        <f>544072+79387+118726+1265934</f>
        <v>2008119</v>
      </c>
      <c r="O9" s="11">
        <f>327115+241900+282000+848413+605252+1755+40803+74252+15833</f>
        <v>2437323</v>
      </c>
      <c r="P9" s="11">
        <f>432701+349000+1985684+130156</f>
        <v>2897541</v>
      </c>
      <c r="Q9" s="11">
        <f>991349+417957+1128697</f>
        <v>2538003</v>
      </c>
      <c r="R9" s="11">
        <f>1788103+57304+34591+155067</f>
        <v>2035065</v>
      </c>
      <c r="S9" s="11">
        <f>91895+707895+21242+449044+66669+98747+46840</f>
        <v>1482332</v>
      </c>
      <c r="T9" s="11">
        <f>1343897.28+1439271</f>
        <v>2783168.2800000003</v>
      </c>
      <c r="U9" s="11">
        <v>2345724</v>
      </c>
      <c r="V9" s="11">
        <f>+S19-U23</f>
        <v>0</v>
      </c>
      <c r="W9" s="11">
        <f>2729274+45650+46464</f>
        <v>2821388</v>
      </c>
      <c r="X9" s="11">
        <f>2143809+81952</f>
        <v>2225761</v>
      </c>
      <c r="Y9" s="11">
        <f>3622894-36633</f>
        <v>3586261</v>
      </c>
      <c r="Z9" s="11">
        <f>1853797-33479-134667+261035</f>
        <v>1946686</v>
      </c>
      <c r="AA9" s="11">
        <v>1902998</v>
      </c>
      <c r="AB9" s="11">
        <v>1396494</v>
      </c>
      <c r="AC9" s="11">
        <f>2886743-13776</f>
        <v>2872967</v>
      </c>
      <c r="AD9" s="11">
        <f>791487+429438+171662+197381+398413+532230</f>
        <v>2520611</v>
      </c>
      <c r="AE9" s="11">
        <f>1893168-31675-1570+30269</f>
        <v>1890192</v>
      </c>
      <c r="AF9" s="11">
        <f>2631938-1001954.71+7681+23642+34464+18450+33802</f>
        <v>1748022.29</v>
      </c>
      <c r="AG9" s="11">
        <v>2564113</v>
      </c>
      <c r="AH9" s="11">
        <f>4080222-422985</f>
        <v>3657237</v>
      </c>
      <c r="AI9" s="9">
        <f>628858+18494+493735+46029+10393+31875+548143+12416+115707+213985</f>
        <v>2119635</v>
      </c>
      <c r="AJ9" s="9">
        <f>1700+500+63080+174057+486629+45055+491557</f>
        <v>1262578</v>
      </c>
      <c r="AK9" s="9">
        <f>507383+455769+17410+659326</f>
        <v>1639888</v>
      </c>
      <c r="AL9" s="9">
        <v>3340007</v>
      </c>
      <c r="AM9" s="9">
        <v>1818353</v>
      </c>
      <c r="AN9" s="11">
        <v>2690691</v>
      </c>
      <c r="AO9" s="9">
        <v>2304355</v>
      </c>
      <c r="AP9" s="7">
        <v>4561777</v>
      </c>
      <c r="AQ9" s="64">
        <v>2268911</v>
      </c>
      <c r="AR9" s="64"/>
      <c r="AS9" s="9">
        <v>1372444</v>
      </c>
      <c r="AT9" s="9">
        <f>62995+1962+86745+938943+1816093</f>
        <v>2906738</v>
      </c>
      <c r="AU9" s="9">
        <f>36545+45715+18797+51927+39753+701995+226106+1290535</f>
        <v>2411373</v>
      </c>
      <c r="AV9" s="9">
        <f>32451+466534+241633+470422+400892</f>
        <v>1611932</v>
      </c>
      <c r="AW9" s="9">
        <f>34616+6230+33808+1349156+370870+422366</f>
        <v>2217046</v>
      </c>
      <c r="AX9" s="9">
        <f>35417+70092+53556+1822809+820400</f>
        <v>2802274</v>
      </c>
      <c r="AY9" s="52">
        <f>100536+127631+420036+1848336+1234800</f>
        <v>3731339</v>
      </c>
      <c r="AZ9" s="9">
        <f>472376+652446+760776</f>
        <v>1885598</v>
      </c>
      <c r="BA9" s="7">
        <f>196307+494450+111965+146298+481642+737798</f>
        <v>2168460</v>
      </c>
      <c r="BB9" s="9"/>
      <c r="BC9" s="1" t="s">
        <v>21</v>
      </c>
    </row>
    <row r="10" spans="1:55" x14ac:dyDescent="0.3">
      <c r="A10" s="1">
        <v>6</v>
      </c>
      <c r="B10" s="5" t="s">
        <v>22</v>
      </c>
      <c r="C10" s="6">
        <v>555000</v>
      </c>
      <c r="D10" s="11">
        <v>215113.91</v>
      </c>
      <c r="E10" s="11">
        <v>1191307.94</v>
      </c>
      <c r="F10" s="11">
        <v>48198.73</v>
      </c>
      <c r="G10" s="11">
        <v>676128.94</v>
      </c>
      <c r="H10" s="11">
        <v>122697</v>
      </c>
      <c r="I10" s="11">
        <v>294644</v>
      </c>
      <c r="J10" s="11">
        <v>982375.4</v>
      </c>
      <c r="K10" s="25">
        <v>1131708.0499999998</v>
      </c>
      <c r="L10" s="25">
        <v>756267.30999999994</v>
      </c>
      <c r="M10" s="11">
        <f>4364+11846.74+130362</f>
        <v>146572.74</v>
      </c>
      <c r="N10" s="11">
        <f>100000+15801+2495</f>
        <v>118296</v>
      </c>
      <c r="O10" s="11">
        <f>88569+31263+5063+12922+4891+5161+487674+2528+29500</f>
        <v>667571</v>
      </c>
      <c r="P10" s="11">
        <f>41382+17144+33685+2951+60601+25000+21000+47513+7934</f>
        <v>257210</v>
      </c>
      <c r="Q10" s="11">
        <f>16190+11179+500905+12277.34+18806.95+61292.83+111555.33+10000+0.55</f>
        <v>742206.99999999988</v>
      </c>
      <c r="R10" s="11">
        <f>22977+149314</f>
        <v>172291</v>
      </c>
      <c r="S10" s="11">
        <f>38085+2822+17100+4708+4358+4359+269271+38252+35680+5069+483409+31487+5070</f>
        <v>939670</v>
      </c>
      <c r="T10" s="11">
        <f>84059+149200</f>
        <v>233259</v>
      </c>
      <c r="U10" s="11">
        <v>796296</v>
      </c>
      <c r="V10" s="11">
        <f>+U23</f>
        <v>0</v>
      </c>
      <c r="W10" s="11">
        <f>394928+42606+98527.66+2346</f>
        <v>538407.66</v>
      </c>
      <c r="X10" s="11">
        <f>567948+15622</f>
        <v>583570</v>
      </c>
      <c r="Y10" s="11">
        <f>346633+247480</f>
        <v>594113</v>
      </c>
      <c r="Z10" s="11">
        <f>18087+111555+5025+120707</f>
        <v>255374</v>
      </c>
      <c r="AA10" s="11">
        <f>144807+15270+55000+107008</f>
        <v>322085</v>
      </c>
      <c r="AB10" s="11">
        <f>867906+285252+354000</f>
        <v>1507158</v>
      </c>
      <c r="AC10" s="11">
        <f>125153+17800</f>
        <v>142953</v>
      </c>
      <c r="AD10" s="11">
        <f>100000+31685+13003+4356+4508+34800+276592+73403+18494+3085+1744+18087+26670+111555+75986</f>
        <v>793968</v>
      </c>
      <c r="AE10" s="11">
        <f>188997+31675+15270</f>
        <v>235942</v>
      </c>
      <c r="AF10" s="11">
        <f>42560+266295+4359+4182+3722+12000+4782+10000+93531.71+502184+20678+4507+33154+3485+2366+14529+4164</f>
        <v>1026498.71</v>
      </c>
      <c r="AG10" s="11">
        <v>169875</v>
      </c>
      <c r="AH10" s="11">
        <f>100000+283294+3700+10000+5027+12000+4782+4182+215678</f>
        <v>638663</v>
      </c>
      <c r="AI10" s="9">
        <f>48407+25966+37777+60000+4164+3182+15132+13910+14513+111555+18807+15270</f>
        <v>368683</v>
      </c>
      <c r="AJ10" s="7">
        <f>120000+125000+20172+12929+10607+39708+41697+2312+32645+4586+4017+369315+36719+261931</f>
        <v>1081638</v>
      </c>
      <c r="AK10" s="7">
        <f>43000+10658+10+1463+2552+230000+493655+13772+1280</f>
        <v>796390</v>
      </c>
      <c r="AL10" s="9">
        <v>270869</v>
      </c>
      <c r="AM10" s="9">
        <v>366447</v>
      </c>
      <c r="AN10" s="11">
        <v>394373</v>
      </c>
      <c r="AO10" s="7">
        <v>1065084</v>
      </c>
      <c r="AP10" s="7">
        <v>640255</v>
      </c>
      <c r="AQ10" s="63">
        <v>761421.40999999992</v>
      </c>
      <c r="AR10" s="63"/>
      <c r="AS10" s="7">
        <f>117634+65230+105805+9585+104166+15798+44441+424231+275145.05</f>
        <v>1162035.05</v>
      </c>
      <c r="AT10" s="9">
        <f>189530+100000+13773</f>
        <v>303303</v>
      </c>
      <c r="AU10" s="9">
        <f>78382+13793+287155+41500+60000+18806</f>
        <v>499636</v>
      </c>
      <c r="AV10" s="9">
        <f>77352+98271+13292+111555+6241+50691</f>
        <v>357402</v>
      </c>
      <c r="AW10" s="7">
        <f>115000+120000+117000+148829+45900+26128+56646+279977+447732</f>
        <v>1357212</v>
      </c>
      <c r="AX10" s="9">
        <f>125439+132960+9612+76002+13773</f>
        <v>357786</v>
      </c>
      <c r="AY10" s="9">
        <f>16695.35+35910+21321+41541+273034.65</f>
        <v>388502</v>
      </c>
      <c r="AZ10" s="52">
        <f>124056+59660+130362+350250</f>
        <v>664328</v>
      </c>
      <c r="BA10" s="7">
        <f>19215+12000+113500+120000+42500+6664+11313+257842+268343</f>
        <v>851377</v>
      </c>
      <c r="BB10" s="9"/>
      <c r="BC10" s="1" t="s">
        <v>21</v>
      </c>
    </row>
    <row r="11" spans="1:55" x14ac:dyDescent="0.3">
      <c r="A11" s="1">
        <v>7</v>
      </c>
      <c r="B11" s="5" t="s">
        <v>23</v>
      </c>
      <c r="C11" s="12"/>
      <c r="D11" s="26">
        <f>+D6-D9-D10</f>
        <v>-107688.70999999982</v>
      </c>
      <c r="E11" s="26">
        <f t="shared" ref="E11:N11" si="0">+E6-E9-E10</f>
        <v>151.78000000002794</v>
      </c>
      <c r="F11" s="26">
        <f t="shared" si="0"/>
        <v>27744.160000000127</v>
      </c>
      <c r="G11" s="26">
        <f t="shared" si="0"/>
        <v>-796249.28000000026</v>
      </c>
      <c r="H11" s="26">
        <f t="shared" si="0"/>
        <v>1200387.6600000001</v>
      </c>
      <c r="I11" s="26">
        <f t="shared" si="0"/>
        <v>376246.14999999991</v>
      </c>
      <c r="J11" s="26">
        <f t="shared" si="0"/>
        <v>-1272325.4299999997</v>
      </c>
      <c r="K11" s="26">
        <f t="shared" si="0"/>
        <v>375796.45000000019</v>
      </c>
      <c r="L11" s="26">
        <f t="shared" si="0"/>
        <v>-584611.08000000042</v>
      </c>
      <c r="M11" s="26">
        <f t="shared" si="0"/>
        <v>945014.7899999998</v>
      </c>
      <c r="N11" s="26">
        <f t="shared" si="0"/>
        <v>347327.03000000026</v>
      </c>
      <c r="O11" s="27">
        <f>SUM(D11:N11)</f>
        <v>511793.52000000025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8">
        <f>+AI6-AI9-AI10</f>
        <v>478073.12999999989</v>
      </c>
      <c r="AJ11" s="28">
        <f>+AJ6-AJ9-AJ10</f>
        <v>-249618.95000000019</v>
      </c>
      <c r="AK11" s="28">
        <f>+AK6-AK9-AK10</f>
        <v>70970</v>
      </c>
      <c r="AL11" s="28">
        <f>+AL6-AL9-AL10</f>
        <v>143370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 t="s">
        <v>21</v>
      </c>
    </row>
    <row r="12" spans="1:55" x14ac:dyDescent="0.3">
      <c r="C12" s="26"/>
    </row>
    <row r="13" spans="1:55" x14ac:dyDescent="0.3"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</row>
    <row r="14" spans="1:55" x14ac:dyDescent="0.3"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</row>
    <row r="15" spans="1:55" x14ac:dyDescent="0.3"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</row>
    <row r="16" spans="1:55" x14ac:dyDescent="0.3"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</row>
    <row r="17" spans="2:54" x14ac:dyDescent="0.3"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</row>
    <row r="18" spans="2:54" x14ac:dyDescent="0.3"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</row>
    <row r="19" spans="2:54" x14ac:dyDescent="0.3"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</row>
    <row r="20" spans="2:54" x14ac:dyDescent="0.3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</row>
    <row r="21" spans="2:54" x14ac:dyDescent="0.3"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</row>
    <row r="22" spans="2:54" x14ac:dyDescent="0.3"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</row>
    <row r="23" spans="2:54" x14ac:dyDescent="0.3"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</row>
    <row r="24" spans="2:54" x14ac:dyDescent="0.3"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>
        <f>+V25-V22-X19</f>
        <v>3140203</v>
      </c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</row>
    <row r="25" spans="2:54" x14ac:dyDescent="0.3"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>
        <v>3140203</v>
      </c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</row>
    <row r="26" spans="2:54" x14ac:dyDescent="0.3"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</row>
    <row r="27" spans="2:54" x14ac:dyDescent="0.3"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</row>
    <row r="28" spans="2:54" x14ac:dyDescent="0.3"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</row>
    <row r="29" spans="2:54" x14ac:dyDescent="0.3"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</row>
    <row r="30" spans="2:54" x14ac:dyDescent="0.3"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</row>
    <row r="31" spans="2:54" x14ac:dyDescent="0.3"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</row>
    <row r="32" spans="2:54" x14ac:dyDescent="0.3"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</row>
    <row r="33" spans="2:56" x14ac:dyDescent="0.3"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</row>
    <row r="34" spans="2:56" x14ac:dyDescent="0.3"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</row>
    <row r="35" spans="2:56" x14ac:dyDescent="0.3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</row>
    <row r="37" spans="2:56" x14ac:dyDescent="0.3"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</row>
    <row r="38" spans="2:56" x14ac:dyDescent="0.3">
      <c r="AI38" s="30"/>
    </row>
    <row r="39" spans="2:56" x14ac:dyDescent="0.3">
      <c r="BD39" s="30"/>
    </row>
    <row r="40" spans="2:56" x14ac:dyDescent="0.3">
      <c r="AI40" s="30"/>
      <c r="AJ40" s="30"/>
      <c r="BD40" s="30"/>
    </row>
  </sheetData>
  <mergeCells count="5">
    <mergeCell ref="B4:B5"/>
    <mergeCell ref="C4:C5"/>
    <mergeCell ref="D4:G4"/>
    <mergeCell ref="H4:L4"/>
    <mergeCell ref="M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</vt:lpstr>
      <vt:lpstr>ope</vt:lpstr>
      <vt:lpstr>admon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</dc:creator>
  <cp:lastModifiedBy>MARK1</cp:lastModifiedBy>
  <dcterms:created xsi:type="dcterms:W3CDTF">2026-01-17T00:20:50Z</dcterms:created>
  <dcterms:modified xsi:type="dcterms:W3CDTF">2026-05-18T16:37:17Z</dcterms:modified>
</cp:coreProperties>
</file>